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Y-PC\Downloads\"/>
    </mc:Choice>
  </mc:AlternateContent>
  <xr:revisionPtr revIDLastSave="0" documentId="8_{633E0E48-99DF-419B-8307-6B67341EC3B9}" xr6:coauthVersionLast="47" xr6:coauthVersionMax="47" xr10:uidLastSave="{00000000-0000-0000-0000-000000000000}"/>
  <bookViews>
    <workbookView xWindow="-120" yWindow="-120" windowWidth="21840" windowHeight="13020" activeTab="4" xr2:uid="{00000000-000D-0000-FFFF-FFFF00000000}"/>
  </bookViews>
  <sheets>
    <sheet name="Q1_Cell_Referencing" sheetId="1" r:id="rId1"/>
    <sheet name="Q2_Total_Sales" sheetId="2" r:id="rId2"/>
    <sheet name="Q3_Average_Sales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G21" i="8"/>
  <c r="G18" i="8"/>
  <c r="G15" i="8"/>
  <c r="G12" i="8"/>
  <c r="G10" i="8"/>
  <c r="G8" i="8"/>
  <c r="G6" i="8"/>
  <c r="G4" i="8"/>
  <c r="G50" i="8"/>
  <c r="G48" i="8"/>
  <c r="G47" i="8"/>
  <c r="G45" i="8"/>
  <c r="G43" i="8"/>
  <c r="G41" i="8"/>
  <c r="G39" i="8"/>
  <c r="G37" i="8"/>
  <c r="G35" i="8"/>
  <c r="G33" i="8"/>
  <c r="G31" i="8"/>
  <c r="G29" i="8"/>
  <c r="G28" i="8"/>
  <c r="G26" i="8"/>
  <c r="G24" i="8"/>
  <c r="G22" i="8"/>
  <c r="G20" i="8"/>
  <c r="G17" i="8"/>
  <c r="G14" i="8"/>
  <c r="G9" i="8"/>
  <c r="G7" i="8"/>
  <c r="G5" i="8"/>
  <c r="G3" i="8"/>
  <c r="G52" i="8"/>
  <c r="G51" i="8"/>
  <c r="G49" i="8"/>
  <c r="G46" i="8"/>
  <c r="G44" i="8"/>
  <c r="G42" i="8"/>
  <c r="G40" i="8"/>
  <c r="G38" i="8"/>
  <c r="G36" i="8"/>
  <c r="G34" i="8"/>
  <c r="G32" i="8"/>
  <c r="G30" i="8"/>
  <c r="G27" i="8"/>
  <c r="G25" i="8"/>
  <c r="G23" i="8"/>
  <c r="G19" i="8"/>
  <c r="G16" i="8"/>
  <c r="G13" i="8"/>
  <c r="G11" i="8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I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B54" i="4"/>
  <c r="D2" i="2"/>
</calcChain>
</file>

<file path=xl/sharedStrings.xml><?xml version="1.0" encoding="utf-8"?>
<sst xmlns="http://schemas.openxmlformats.org/spreadsheetml/2006/main" count="954" uniqueCount="127">
  <si>
    <t>Type</t>
  </si>
  <si>
    <t>Example Formula</t>
  </si>
  <si>
    <t>Explanation</t>
  </si>
  <si>
    <t>Relative</t>
  </si>
  <si>
    <t>Changes row and column when copied</t>
  </si>
  <si>
    <t>Absolute</t>
  </si>
  <si>
    <t>Does not change when copied</t>
  </si>
  <si>
    <t>Mixed</t>
  </si>
  <si>
    <t>One part fixed, one part relative</t>
  </si>
  <si>
    <t>Vehicle</t>
  </si>
  <si>
    <t>Price</t>
  </si>
  <si>
    <t>Total (Car + Bicycle)</t>
  </si>
  <si>
    <t>Car</t>
  </si>
  <si>
    <t>Bicycle</t>
  </si>
  <si>
    <t>Auto-Rickshaw</t>
  </si>
  <si>
    <t>Item</t>
  </si>
  <si>
    <t>Sales</t>
  </si>
  <si>
    <t>Average Sales (Price&gt;100,&lt;300)</t>
  </si>
  <si>
    <t>Item A</t>
  </si>
  <si>
    <t>Item B</t>
  </si>
  <si>
    <t>Item C</t>
  </si>
  <si>
    <r>
      <t xml:space="preserve">If we write formula </t>
    </r>
    <r>
      <rPr>
        <sz val="10"/>
        <color theme="1"/>
        <rFont val="Arial Unicode MS"/>
      </rPr>
      <t>=B2+C2</t>
    </r>
    <r>
      <rPr>
        <sz val="11"/>
        <color theme="1"/>
        <rFont val="Calibri"/>
        <family val="2"/>
        <scheme val="minor"/>
      </rPr>
      <t xml:space="preserve"> in cell D2 and copy it to D3, it becomes </t>
    </r>
    <r>
      <rPr>
        <sz val="10"/>
        <color theme="1"/>
        <rFont val="Arial Unicode MS"/>
      </rPr>
      <t>=B3+C3</t>
    </r>
  </si>
  <si>
    <r>
      <t xml:space="preserve">Dollar sign </t>
    </r>
    <r>
      <rPr>
        <sz val="10"/>
        <color theme="1"/>
        <rFont val="Arial Unicode MS"/>
      </rPr>
      <t>$</t>
    </r>
    <r>
      <rPr>
        <sz val="11"/>
        <color theme="1"/>
        <rFont val="Calibri"/>
        <family val="2"/>
        <scheme val="minor"/>
      </rPr>
      <t xml:space="preserve"> is used</t>
    </r>
  </si>
  <si>
    <r>
      <t>$B2</t>
    </r>
    <r>
      <rPr>
        <sz val="11"/>
        <color theme="1"/>
        <rFont val="Calibri"/>
        <family val="2"/>
        <scheme val="minor"/>
      </rPr>
      <t xml:space="preserve"> → column fixed</t>
    </r>
    <r>
      <rPr>
        <sz val="10"/>
        <color theme="1"/>
        <rFont val="Arial Unicode MS"/>
      </rPr>
      <t xml:space="preserve"> B$2 → row fixed</t>
    </r>
  </si>
  <si>
    <t>OrderID</t>
  </si>
  <si>
    <t>CustomerName</t>
  </si>
  <si>
    <t>Region</t>
  </si>
  <si>
    <t>Product</t>
  </si>
  <si>
    <t>Quantity</t>
  </si>
  <si>
    <t>UnitPrice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</si>
  <si>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</si>
  <si>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</si>
  <si>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</si>
  <si>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</si>
  <si>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</si>
  <si>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</si>
  <si>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</si>
  <si>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</si>
  <si>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</si>
  <si>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</si>
  <si>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</si>
  <si>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</si>
  <si>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</si>
  <si>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</si>
  <si>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OrderDate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</si>
  <si>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</si>
  <si>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</si>
  <si>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</si>
  <si>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</si>
  <si>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</si>
  <si>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</si>
  <si>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</si>
  <si>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</si>
  <si>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</si>
  <si>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</si>
  <si>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</si>
  <si>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</si>
  <si>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</si>
  <si>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</si>
  <si>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</si>
  <si>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</si>
  <si>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</si>
  <si>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</si>
  <si>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</si>
  <si>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</si>
  <si>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</si>
  <si>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</si>
  <si>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</si>
  <si>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</si>
  <si>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</si>
  <si>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</si>
  <si>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</si>
  <si>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</si>
  <si>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</si>
  <si>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</si>
  <si>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</si>
  <si>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</si>
  <si>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</si>
  <si>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</si>
  <si>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</si>
  <si>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</si>
  <si>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</si>
  <si>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</si>
  <si>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</si>
  <si>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</si>
  <si>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</si>
  <si>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</si>
  <si>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</si>
  <si>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</si>
  <si>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</si>
  <si>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</si>
  <si>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</si>
  <si>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</si>
  <si>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</si>
  <si>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</si>
  <si>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</si>
  <si>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</si>
  <si>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</si>
  <si>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</si>
  <si>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</si>
  <si>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</si>
  <si>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</si>
  <si>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</si>
  <si>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</si>
  <si>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</si>
  <si>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</si>
  <si>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</si>
  <si>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</si>
  <si>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</si>
  <si>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</si>
  <si>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</si>
  <si>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</si>
  <si>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</si>
  <si>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</si>
  <si>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</si>
  <si>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</si>
  <si>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Q4:-Count how many customer names are recorded.</t>
  </si>
  <si>
    <t>Q5Calculate the Total Sales for each row using a formula.</t>
  </si>
  <si>
    <t xml:space="preserve">Total Sales </t>
  </si>
  <si>
    <t>Answer</t>
  </si>
  <si>
    <t>Answer above</t>
  </si>
  <si>
    <t>Q6:-Calculate the total sales of Notebooks in the North region only.</t>
  </si>
  <si>
    <t>notebooks sales from north region</t>
  </si>
  <si>
    <t>Q6:-Create a column chart showing total sales by product.</t>
  </si>
  <si>
    <t>Q8:-Insert a line chart showing daily sales trend.</t>
  </si>
  <si>
    <t>Sol:- Total Customer</t>
  </si>
  <si>
    <t>Q3:-Using the data below, write a formula to calculate the average sales of items priced above 100 but less than 300: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</si>
</sst>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 Unicode MS"/>
    </font>
    <font>
      <b/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4" fillId="3" borderId="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5" fillId="5" borderId="0" xfId="0" applyFont="1" applyFill="1" applyAlignment="1">
      <alignment horizontal="left" vertical="top"/>
    </xf>
    <xf numFmtId="0" fontId="5" fillId="5" borderId="2" xfId="0" applyFont="1" applyFill="1" applyBorder="1" applyAlignment="1">
      <alignment vertical="top"/>
    </xf>
    <xf numFmtId="0" fontId="5" fillId="5" borderId="0" xfId="0" applyFont="1" applyFill="1" applyAlignment="1">
      <alignment vertical="top"/>
    </xf>
    <xf numFmtId="0" fontId="5" fillId="5" borderId="2" xfId="0" applyFont="1" applyFill="1" applyBorder="1" applyAlignment="1">
      <alignment horizontal="center"/>
    </xf>
    <xf numFmtId="0" fontId="5" fillId="5" borderId="0" xfId="0" applyFont="1" applyFill="1" applyAlignment="1">
      <alignment horizont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'Q7'!$G$2</c:f>
              <c:strCache>
                <c:ptCount val="1"/>
                <c:pt idx="0">
                  <c:v>Total Sales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'Q7'!$D$3:$D$52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'Q7'!$G$3:$G$52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2-4756-8343-B918E1F909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86394576"/>
        <c:axId val="1786395056"/>
        <c:axId val="1987183360"/>
      </c:bar3DChart>
      <c:catAx>
        <c:axId val="1786394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95056"/>
        <c:crosses val="autoZero"/>
        <c:auto val="1"/>
        <c:lblAlgn val="ctr"/>
        <c:lblOffset val="100"/>
        <c:noMultiLvlLbl val="0"/>
      </c:catAx>
      <c:valAx>
        <c:axId val="1786395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94576"/>
        <c:crosses val="autoZero"/>
        <c:crossBetween val="between"/>
      </c:valAx>
      <c:serAx>
        <c:axId val="19871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95056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latin typeface="Algerian" panose="04020705040A02060702" pitchFamily="82" charset="0"/>
              </a:rPr>
              <a:t>Daily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'Q8'!$G$52</c:f>
              <c:strCache>
                <c:ptCount val="1"/>
                <c:pt idx="0">
                  <c:v>150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'Q8'!$H$2:$H$51</c:f>
              <c:strCache>
                <c:ptCount val="50"/>
                <c:pt idx="0">
                  <c:v>OrderDate</c:v>
                </c:pt>
                <c:pt idx="1">
                  <c:v>1/2/2024</c:v>
                </c:pt>
                <c:pt idx="2">
                  <c:v>1/3/2024</c:v>
                </c:pt>
                <c:pt idx="3">
                  <c:v>2/2/2024</c:v>
                </c:pt>
                <c:pt idx="4">
                  <c:v>2/3/2024</c:v>
                </c:pt>
                <c:pt idx="5">
                  <c:v>3/2/2024</c:v>
                </c:pt>
                <c:pt idx="6">
                  <c:v>3/3/2024</c:v>
                </c:pt>
                <c:pt idx="7">
                  <c:v>4/2/2024</c:v>
                </c:pt>
                <c:pt idx="8">
                  <c:v>4/3/2024</c:v>
                </c:pt>
                <c:pt idx="9">
                  <c:v>5/1/2024</c:v>
                </c:pt>
                <c:pt idx="10">
                  <c:v>5/3/2024</c:v>
                </c:pt>
                <c:pt idx="11">
                  <c:v>6/1/2024</c:v>
                </c:pt>
                <c:pt idx="12">
                  <c:v>6/2/2024</c:v>
                </c:pt>
                <c:pt idx="13">
                  <c:v>6/3/2024</c:v>
                </c:pt>
                <c:pt idx="14">
                  <c:v>7/1/2024</c:v>
                </c:pt>
                <c:pt idx="15">
                  <c:v>7/2/2024</c:v>
                </c:pt>
                <c:pt idx="16">
                  <c:v>7/3/2024</c:v>
                </c:pt>
                <c:pt idx="17">
                  <c:v>8/1/2024</c:v>
                </c:pt>
                <c:pt idx="18">
                  <c:v>8/2/2024</c:v>
                </c:pt>
                <c:pt idx="19">
                  <c:v>8/3/2024</c:v>
                </c:pt>
                <c:pt idx="20">
                  <c:v>9/2/2024</c:v>
                </c:pt>
                <c:pt idx="21">
                  <c:v>10/1/2024</c:v>
                </c:pt>
                <c:pt idx="22">
                  <c:v>10/2/2024</c:v>
                </c:pt>
                <c:pt idx="23">
                  <c:v>11/1/2024</c:v>
                </c:pt>
                <c:pt idx="24">
                  <c:v>12/2/2024</c:v>
                </c:pt>
                <c:pt idx="25">
                  <c:v>13-01-2024</c:v>
                </c:pt>
                <c:pt idx="26">
                  <c:v>13-02-2024</c:v>
                </c:pt>
                <c:pt idx="27">
                  <c:v>14-02-2024</c:v>
                </c:pt>
                <c:pt idx="28">
                  <c:v>15-01-2024</c:v>
                </c:pt>
                <c:pt idx="29">
                  <c:v>16-02-2024</c:v>
                </c:pt>
                <c:pt idx="30">
                  <c:v>17-01-2024</c:v>
                </c:pt>
                <c:pt idx="31">
                  <c:v>17-02-2024</c:v>
                </c:pt>
                <c:pt idx="32">
                  <c:v>18-01-2024</c:v>
                </c:pt>
                <c:pt idx="33">
                  <c:v>18-02-2024</c:v>
                </c:pt>
                <c:pt idx="34">
                  <c:v>19-01-2024</c:v>
                </c:pt>
                <c:pt idx="35">
                  <c:v>19-02-2024</c:v>
                </c:pt>
                <c:pt idx="36">
                  <c:v>20-01-2024</c:v>
                </c:pt>
                <c:pt idx="37">
                  <c:v>21-02-2024</c:v>
                </c:pt>
                <c:pt idx="38">
                  <c:v>22-01-2024</c:v>
                </c:pt>
                <c:pt idx="39">
                  <c:v>22-02-2024</c:v>
                </c:pt>
                <c:pt idx="40">
                  <c:v>23-01-2024</c:v>
                </c:pt>
                <c:pt idx="41">
                  <c:v>23-02-2024</c:v>
                </c:pt>
                <c:pt idx="42">
                  <c:v>24-01-2024</c:v>
                </c:pt>
                <c:pt idx="43">
                  <c:v>25-02-2024</c:v>
                </c:pt>
                <c:pt idx="44">
                  <c:v>26-01-2024</c:v>
                </c:pt>
                <c:pt idx="45">
                  <c:v>26-02-2024</c:v>
                </c:pt>
                <c:pt idx="46">
                  <c:v>27-02-2024</c:v>
                </c:pt>
                <c:pt idx="47">
                  <c:v>28-01-2024</c:v>
                </c:pt>
                <c:pt idx="48">
                  <c:v>28-02-2024</c:v>
                </c:pt>
                <c:pt idx="49">
                  <c:v>29-01-2024</c:v>
                </c:pt>
              </c:strCache>
            </c:strRef>
          </c:cat>
          <c:val>
            <c:numRef>
              <c:f>'Q8'!$H$52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B-40CB-B88C-CBEF55755F10}"/>
            </c:ext>
          </c:extLst>
        </c:ser>
        <c:ser>
          <c:idx val="1"/>
          <c:order val="1"/>
          <c:tx>
            <c:strRef>
              <c:f>'Q8'!$G$2</c:f>
              <c:strCache>
                <c:ptCount val="1"/>
                <c:pt idx="0">
                  <c:v>Total Sales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'Q8'!$G$3:$G$52</c:f>
              <c:numCache>
                <c:formatCode>General</c:formatCode>
                <c:ptCount val="50"/>
                <c:pt idx="0">
                  <c:v>450</c:v>
                </c:pt>
                <c:pt idx="1">
                  <c:v>208</c:v>
                </c:pt>
                <c:pt idx="2">
                  <c:v>450</c:v>
                </c:pt>
                <c:pt idx="3">
                  <c:v>700</c:v>
                </c:pt>
                <c:pt idx="4">
                  <c:v>175</c:v>
                </c:pt>
                <c:pt idx="5">
                  <c:v>200</c:v>
                </c:pt>
                <c:pt idx="6">
                  <c:v>240</c:v>
                </c:pt>
                <c:pt idx="7">
                  <c:v>425</c:v>
                </c:pt>
                <c:pt idx="8">
                  <c:v>500</c:v>
                </c:pt>
                <c:pt idx="9">
                  <c:v>95</c:v>
                </c:pt>
                <c:pt idx="10">
                  <c:v>200</c:v>
                </c:pt>
                <c:pt idx="11">
                  <c:v>550</c:v>
                </c:pt>
                <c:pt idx="12">
                  <c:v>256</c:v>
                </c:pt>
                <c:pt idx="13">
                  <c:v>375</c:v>
                </c:pt>
                <c:pt idx="14">
                  <c:v>140</c:v>
                </c:pt>
                <c:pt idx="15">
                  <c:v>600</c:v>
                </c:pt>
                <c:pt idx="16">
                  <c:v>250</c:v>
                </c:pt>
                <c:pt idx="17">
                  <c:v>400</c:v>
                </c:pt>
                <c:pt idx="18">
                  <c:v>250</c:v>
                </c:pt>
                <c:pt idx="19">
                  <c:v>110</c:v>
                </c:pt>
                <c:pt idx="20">
                  <c:v>150</c:v>
                </c:pt>
                <c:pt idx="21">
                  <c:v>216</c:v>
                </c:pt>
                <c:pt idx="22">
                  <c:v>600</c:v>
                </c:pt>
                <c:pt idx="23">
                  <c:v>650</c:v>
                </c:pt>
                <c:pt idx="24">
                  <c:v>200</c:v>
                </c:pt>
                <c:pt idx="25">
                  <c:v>320</c:v>
                </c:pt>
                <c:pt idx="26">
                  <c:v>250</c:v>
                </c:pt>
                <c:pt idx="27">
                  <c:v>180</c:v>
                </c:pt>
                <c:pt idx="28">
                  <c:v>90</c:v>
                </c:pt>
                <c:pt idx="29">
                  <c:v>550</c:v>
                </c:pt>
                <c:pt idx="30">
                  <c:v>176</c:v>
                </c:pt>
                <c:pt idx="31">
                  <c:v>400</c:v>
                </c:pt>
                <c:pt idx="32">
                  <c:v>850</c:v>
                </c:pt>
                <c:pt idx="33">
                  <c:v>200</c:v>
                </c:pt>
                <c:pt idx="34">
                  <c:v>190</c:v>
                </c:pt>
                <c:pt idx="35">
                  <c:v>280</c:v>
                </c:pt>
                <c:pt idx="36">
                  <c:v>375</c:v>
                </c:pt>
                <c:pt idx="37">
                  <c:v>700</c:v>
                </c:pt>
                <c:pt idx="38">
                  <c:v>140</c:v>
                </c:pt>
                <c:pt idx="39">
                  <c:v>280</c:v>
                </c:pt>
                <c:pt idx="40">
                  <c:v>192</c:v>
                </c:pt>
                <c:pt idx="41">
                  <c:v>300</c:v>
                </c:pt>
                <c:pt idx="42">
                  <c:v>800</c:v>
                </c:pt>
                <c:pt idx="43">
                  <c:v>125</c:v>
                </c:pt>
                <c:pt idx="44">
                  <c:v>270</c:v>
                </c:pt>
                <c:pt idx="45">
                  <c:v>525</c:v>
                </c:pt>
                <c:pt idx="46">
                  <c:v>160</c:v>
                </c:pt>
                <c:pt idx="47">
                  <c:v>150</c:v>
                </c:pt>
                <c:pt idx="48">
                  <c:v>500</c:v>
                </c:pt>
                <c:pt idx="49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EB-40CB-B88C-CBEF55755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2527792"/>
        <c:axId val="2082525392"/>
      </c:lineChart>
      <c:catAx>
        <c:axId val="20825277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525392"/>
        <c:crosses val="autoZero"/>
        <c:auto val="1"/>
        <c:lblAlgn val="ctr"/>
        <c:lblOffset val="100"/>
        <c:noMultiLvlLbl val="0"/>
      </c:catAx>
      <c:valAx>
        <c:axId val="208252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52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1</xdr:row>
      <xdr:rowOff>157162</xdr:rowOff>
    </xdr:from>
    <xdr:to>
      <xdr:col>18</xdr:col>
      <xdr:colOff>209550</xdr:colOff>
      <xdr:row>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F729F2-D2AC-8E35-F7F3-7E14A6E3D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142875</xdr:colOff>
      <xdr:row>1</xdr:row>
      <xdr:rowOff>42862</xdr:rowOff>
    </xdr:from>
    <xdr:to>
      <xdr:col>20</xdr:col>
      <xdr:colOff>314325</xdr:colOff>
      <xdr:row>8</xdr:row>
      <xdr:rowOff>52387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1E4322E-A07C-638F-8E4A-AE0AF4D67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B17" sqref="B17"/>
    </sheetView>
  </sheetViews>
  <sheetFormatPr defaultRowHeight="15"/>
  <cols>
    <col min="2" max="2" width="68.7109375" bestFit="1" customWidth="1"/>
    <col min="3" max="3" width="35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21</v>
      </c>
      <c r="C2" t="s">
        <v>4</v>
      </c>
    </row>
    <row r="3" spans="1:3">
      <c r="A3" t="s">
        <v>5</v>
      </c>
      <c r="B3" t="s">
        <v>22</v>
      </c>
      <c r="C3" t="s">
        <v>6</v>
      </c>
    </row>
    <row r="4" spans="1:3">
      <c r="A4" t="s">
        <v>7</v>
      </c>
      <c r="B4" s="1" t="s">
        <v>23</v>
      </c>
      <c r="C4" t="s">
        <v>8</v>
      </c>
    </row>
    <row r="6" spans="1:3">
      <c r="B6" s="1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B17" sqref="B17"/>
    </sheetView>
  </sheetViews>
  <sheetFormatPr defaultRowHeight="15"/>
  <cols>
    <col min="4" max="4" width="18.42578125" bestFit="1" customWidth="1"/>
  </cols>
  <sheetData>
    <row r="1" spans="1:4">
      <c r="A1" t="s">
        <v>9</v>
      </c>
      <c r="B1" t="s">
        <v>10</v>
      </c>
      <c r="D1" t="s">
        <v>11</v>
      </c>
    </row>
    <row r="2" spans="1:4">
      <c r="A2" t="s">
        <v>12</v>
      </c>
      <c r="B2">
        <v>500000</v>
      </c>
      <c r="D2">
        <f>SUM(B2,B3)</f>
        <v>510500</v>
      </c>
    </row>
    <row r="3" spans="1:4">
      <c r="A3" t="s">
        <v>13</v>
      </c>
      <c r="B3">
        <v>10500</v>
      </c>
    </row>
    <row r="4" spans="1:4">
      <c r="A4" t="s">
        <v>14</v>
      </c>
      <c r="B4">
        <v>25000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"/>
  <sheetViews>
    <sheetView workbookViewId="0">
      <selection activeCell="B17" sqref="B17"/>
    </sheetView>
  </sheetViews>
  <sheetFormatPr defaultRowHeight="15"/>
  <cols>
    <col min="1" max="1" width="8.85546875" bestFit="1" customWidth="1"/>
    <col min="5" max="5" width="28.7109375" bestFit="1" customWidth="1"/>
  </cols>
  <sheetData>
    <row r="1" spans="1:16" ht="18.75" customHeight="1">
      <c r="A1" s="18" t="s">
        <v>126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t="s">
        <v>15</v>
      </c>
      <c r="B2" t="s">
        <v>10</v>
      </c>
      <c r="C2" t="s">
        <v>16</v>
      </c>
      <c r="E2" s="19" t="s">
        <v>17</v>
      </c>
    </row>
    <row r="3" spans="1:16">
      <c r="A3" t="s">
        <v>18</v>
      </c>
      <c r="B3">
        <v>90</v>
      </c>
      <c r="C3">
        <v>1000</v>
      </c>
      <c r="E3" s="19">
        <f>AVERAGEIFS(C3:C11, B3:B11, "&gt;100", B3:B11, "&lt;300")</f>
        <v>1350</v>
      </c>
    </row>
    <row r="4" spans="1:16">
      <c r="A4" t="s">
        <v>19</v>
      </c>
      <c r="B4">
        <v>150</v>
      </c>
      <c r="C4">
        <v>1200</v>
      </c>
    </row>
    <row r="5" spans="1:16">
      <c r="A5" t="s">
        <v>20</v>
      </c>
      <c r="B5">
        <v>250</v>
      </c>
      <c r="C5">
        <v>1500</v>
      </c>
    </row>
  </sheetData>
  <mergeCells count="1">
    <mergeCell ref="A1:P1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4"/>
  <sheetViews>
    <sheetView topLeftCell="A46" workbookViewId="0">
      <selection activeCell="B17" sqref="B17"/>
    </sheetView>
  </sheetViews>
  <sheetFormatPr defaultRowHeight="15"/>
  <cols>
    <col min="1" max="1" width="26" style="4" bestFit="1" customWidth="1"/>
    <col min="2" max="2" width="12" style="4" bestFit="1" customWidth="1"/>
    <col min="3" max="3" width="7.140625" style="4" bestFit="1" customWidth="1"/>
    <col min="4" max="4" width="8.85546875" style="4" bestFit="1" customWidth="1"/>
    <col min="5" max="5" width="8.7109375" style="4" bestFit="1" customWidth="1"/>
    <col min="6" max="6" width="8.140625" style="4" bestFit="1" customWidth="1"/>
    <col min="7" max="7" width="9.7109375" style="4" bestFit="1" customWidth="1"/>
    <col min="8" max="16384" width="9.140625" style="4"/>
  </cols>
  <sheetData>
    <row r="1" spans="1:7" ht="19.5" thickBot="1">
      <c r="A1" s="17" t="s">
        <v>116</v>
      </c>
      <c r="B1" s="17"/>
      <c r="C1" s="17"/>
      <c r="D1" s="17"/>
      <c r="E1" s="17"/>
      <c r="F1" s="17"/>
      <c r="G1" s="17"/>
    </row>
    <row r="2" spans="1:7" ht="30.75" customHeight="1" thickBot="1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44</v>
      </c>
    </row>
    <row r="3" spans="1:7" ht="30.75" thickBot="1">
      <c r="A3" s="2">
        <v>1001</v>
      </c>
      <c r="B3" s="2" t="s">
        <v>30</v>
      </c>
      <c r="C3" s="2" t="s">
        <v>31</v>
      </c>
      <c r="D3" s="2" t="s">
        <v>32</v>
      </c>
      <c r="E3" s="2">
        <v>10</v>
      </c>
      <c r="F3" s="2">
        <v>50</v>
      </c>
      <c r="G3" s="5">
        <v>45413</v>
      </c>
    </row>
    <row r="4" spans="1:7" ht="15.75" thickBot="1">
      <c r="A4" s="2">
        <v>1002</v>
      </c>
      <c r="B4" s="2" t="s">
        <v>33</v>
      </c>
      <c r="C4" s="2" t="s">
        <v>34</v>
      </c>
      <c r="D4" s="2" t="s">
        <v>35</v>
      </c>
      <c r="E4" s="2">
        <v>20</v>
      </c>
      <c r="F4" s="2">
        <v>10</v>
      </c>
      <c r="G4" s="5">
        <v>45444</v>
      </c>
    </row>
    <row r="5" spans="1:7" ht="15.75" thickBot="1">
      <c r="A5" s="2">
        <v>1003</v>
      </c>
      <c r="B5" s="2" t="s">
        <v>36</v>
      </c>
      <c r="C5" s="2" t="s">
        <v>37</v>
      </c>
      <c r="D5" s="2" t="s">
        <v>38</v>
      </c>
      <c r="E5" s="2">
        <v>15</v>
      </c>
      <c r="F5" s="2">
        <v>25</v>
      </c>
      <c r="G5" s="5">
        <v>45474</v>
      </c>
    </row>
    <row r="6" spans="1:7" ht="30.75" thickBot="1">
      <c r="A6" s="2">
        <v>1004</v>
      </c>
      <c r="B6" s="2" t="s">
        <v>39</v>
      </c>
      <c r="C6" s="2" t="s">
        <v>40</v>
      </c>
      <c r="D6" s="2" t="s">
        <v>32</v>
      </c>
      <c r="E6" s="2">
        <v>5</v>
      </c>
      <c r="F6" s="2">
        <v>50</v>
      </c>
      <c r="G6" s="5">
        <v>45505</v>
      </c>
    </row>
    <row r="7" spans="1:7" ht="15.75" thickBot="1">
      <c r="A7" s="2">
        <v>1005</v>
      </c>
      <c r="B7" s="2" t="s">
        <v>41</v>
      </c>
      <c r="C7" s="2" t="s">
        <v>31</v>
      </c>
      <c r="D7" s="2" t="s">
        <v>42</v>
      </c>
      <c r="E7" s="2">
        <v>30</v>
      </c>
      <c r="F7" s="2">
        <v>5</v>
      </c>
      <c r="G7" s="5">
        <v>45566</v>
      </c>
    </row>
    <row r="8" spans="1:7" ht="30.75" thickBot="1">
      <c r="A8" s="2">
        <v>1006</v>
      </c>
      <c r="B8" s="2" t="s">
        <v>43</v>
      </c>
      <c r="C8" s="2" t="s">
        <v>34</v>
      </c>
      <c r="D8" s="2" t="s">
        <v>32</v>
      </c>
      <c r="E8" s="2">
        <v>12</v>
      </c>
      <c r="F8" s="2">
        <v>50</v>
      </c>
      <c r="G8" s="5">
        <v>45597</v>
      </c>
    </row>
    <row r="9" spans="1:7" ht="30.75" thickBot="1">
      <c r="A9" s="2">
        <v>1007</v>
      </c>
      <c r="B9" s="2" t="s">
        <v>45</v>
      </c>
      <c r="C9" s="2" t="s">
        <v>37</v>
      </c>
      <c r="D9" s="2" t="s">
        <v>46</v>
      </c>
      <c r="E9" s="2">
        <v>25</v>
      </c>
      <c r="F9" s="2">
        <v>8</v>
      </c>
      <c r="G9" s="2" t="s">
        <v>47</v>
      </c>
    </row>
    <row r="10" spans="1:7" ht="30.75" thickBot="1">
      <c r="A10" s="2">
        <v>1008</v>
      </c>
      <c r="B10" s="2" t="s">
        <v>48</v>
      </c>
      <c r="C10" s="2" t="s">
        <v>40</v>
      </c>
      <c r="D10" s="2" t="s">
        <v>35</v>
      </c>
      <c r="E10" s="2">
        <v>18</v>
      </c>
      <c r="F10" s="2">
        <v>10</v>
      </c>
      <c r="G10" s="2" t="s">
        <v>49</v>
      </c>
    </row>
    <row r="11" spans="1:7" ht="30.75" thickBot="1">
      <c r="A11" s="2">
        <v>1009</v>
      </c>
      <c r="B11" s="2" t="s">
        <v>50</v>
      </c>
      <c r="C11" s="2" t="s">
        <v>31</v>
      </c>
      <c r="D11" s="2" t="s">
        <v>38</v>
      </c>
      <c r="E11" s="2">
        <v>22</v>
      </c>
      <c r="F11" s="2">
        <v>25</v>
      </c>
      <c r="G11" s="2" t="s">
        <v>51</v>
      </c>
    </row>
    <row r="12" spans="1:7" ht="30.75" thickBot="1">
      <c r="A12" s="2">
        <v>1010</v>
      </c>
      <c r="B12" s="2" t="s">
        <v>52</v>
      </c>
      <c r="C12" s="2" t="s">
        <v>34</v>
      </c>
      <c r="D12" s="2" t="s">
        <v>32</v>
      </c>
      <c r="E12" s="2">
        <v>8</v>
      </c>
      <c r="F12" s="2">
        <v>50</v>
      </c>
      <c r="G12" s="2" t="s">
        <v>53</v>
      </c>
    </row>
    <row r="13" spans="1:7" ht="30.75" thickBot="1">
      <c r="A13" s="2">
        <v>1011</v>
      </c>
      <c r="B13" s="2" t="s">
        <v>54</v>
      </c>
      <c r="C13" s="2" t="s">
        <v>37</v>
      </c>
      <c r="D13" s="2" t="s">
        <v>42</v>
      </c>
      <c r="E13" s="2">
        <v>40</v>
      </c>
      <c r="F13" s="2">
        <v>5</v>
      </c>
      <c r="G13" s="2" t="s">
        <v>55</v>
      </c>
    </row>
    <row r="14" spans="1:7" ht="30.75" thickBot="1">
      <c r="A14" s="2">
        <v>1012</v>
      </c>
      <c r="B14" s="2" t="s">
        <v>56</v>
      </c>
      <c r="C14" s="2" t="s">
        <v>40</v>
      </c>
      <c r="D14" s="2" t="s">
        <v>46</v>
      </c>
      <c r="E14" s="2">
        <v>35</v>
      </c>
      <c r="F14" s="2">
        <v>8</v>
      </c>
      <c r="G14" s="2" t="s">
        <v>57</v>
      </c>
    </row>
    <row r="15" spans="1:7" ht="30.75" thickBot="1">
      <c r="A15" s="2">
        <v>1013</v>
      </c>
      <c r="B15" s="2" t="s">
        <v>58</v>
      </c>
      <c r="C15" s="2" t="s">
        <v>31</v>
      </c>
      <c r="D15" s="2" t="s">
        <v>32</v>
      </c>
      <c r="E15" s="2">
        <v>14</v>
      </c>
      <c r="F15" s="2">
        <v>50</v>
      </c>
      <c r="G15" s="2" t="s">
        <v>59</v>
      </c>
    </row>
    <row r="16" spans="1:7" ht="30.75" thickBot="1">
      <c r="A16" s="2">
        <v>1014</v>
      </c>
      <c r="B16" s="2" t="s">
        <v>60</v>
      </c>
      <c r="C16" s="2" t="s">
        <v>34</v>
      </c>
      <c r="D16" s="2" t="s">
        <v>35</v>
      </c>
      <c r="E16" s="2">
        <v>28</v>
      </c>
      <c r="F16" s="2">
        <v>10</v>
      </c>
      <c r="G16" s="2" t="s">
        <v>61</v>
      </c>
    </row>
    <row r="17" spans="1:7" ht="30.75" thickBot="1">
      <c r="A17" s="2">
        <v>1015</v>
      </c>
      <c r="B17" s="2" t="s">
        <v>62</v>
      </c>
      <c r="C17" s="2" t="s">
        <v>37</v>
      </c>
      <c r="D17" s="2" t="s">
        <v>38</v>
      </c>
      <c r="E17" s="2">
        <v>12</v>
      </c>
      <c r="F17" s="2">
        <v>25</v>
      </c>
      <c r="G17" s="2" t="s">
        <v>63</v>
      </c>
    </row>
    <row r="18" spans="1:7" ht="30.75" thickBot="1">
      <c r="A18" s="2">
        <v>1016</v>
      </c>
      <c r="B18" s="2" t="s">
        <v>64</v>
      </c>
      <c r="C18" s="2" t="s">
        <v>40</v>
      </c>
      <c r="D18" s="2" t="s">
        <v>42</v>
      </c>
      <c r="E18" s="2">
        <v>25</v>
      </c>
      <c r="F18" s="2">
        <v>5</v>
      </c>
      <c r="G18" s="2" t="s">
        <v>65</v>
      </c>
    </row>
    <row r="19" spans="1:7" ht="30.75" thickBot="1">
      <c r="A19" s="2">
        <v>1017</v>
      </c>
      <c r="B19" s="2" t="s">
        <v>66</v>
      </c>
      <c r="C19" s="2" t="s">
        <v>31</v>
      </c>
      <c r="D19" s="2" t="s">
        <v>46</v>
      </c>
      <c r="E19" s="2">
        <v>20</v>
      </c>
      <c r="F19" s="2">
        <v>8</v>
      </c>
      <c r="G19" s="2" t="s">
        <v>67</v>
      </c>
    </row>
    <row r="20" spans="1:7" ht="30.75" thickBot="1">
      <c r="A20" s="2">
        <v>1018</v>
      </c>
      <c r="B20" s="2" t="s">
        <v>68</v>
      </c>
      <c r="C20" s="2" t="s">
        <v>34</v>
      </c>
      <c r="D20" s="2" t="s">
        <v>32</v>
      </c>
      <c r="E20" s="2">
        <v>10</v>
      </c>
      <c r="F20" s="2">
        <v>50</v>
      </c>
      <c r="G20" s="2" t="s">
        <v>69</v>
      </c>
    </row>
    <row r="21" spans="1:7" ht="30.75" thickBot="1">
      <c r="A21" s="2">
        <v>1019</v>
      </c>
      <c r="B21" s="2" t="s">
        <v>70</v>
      </c>
      <c r="C21" s="2" t="s">
        <v>37</v>
      </c>
      <c r="D21" s="2" t="s">
        <v>35</v>
      </c>
      <c r="E21" s="2">
        <v>15</v>
      </c>
      <c r="F21" s="2">
        <v>10</v>
      </c>
      <c r="G21" s="2" t="s">
        <v>71</v>
      </c>
    </row>
    <row r="22" spans="1:7" ht="15.75" thickBot="1">
      <c r="A22" s="2">
        <v>1020</v>
      </c>
      <c r="B22" s="2" t="s">
        <v>72</v>
      </c>
      <c r="C22" s="2" t="s">
        <v>40</v>
      </c>
      <c r="D22" s="2" t="s">
        <v>38</v>
      </c>
      <c r="E22" s="2">
        <v>18</v>
      </c>
      <c r="F22" s="2">
        <v>25</v>
      </c>
      <c r="G22" s="5">
        <v>45293</v>
      </c>
    </row>
    <row r="23" spans="1:7" ht="30.75" thickBot="1">
      <c r="A23" s="2">
        <v>1021</v>
      </c>
      <c r="B23" s="2" t="s">
        <v>73</v>
      </c>
      <c r="C23" s="2" t="s">
        <v>31</v>
      </c>
      <c r="D23" s="2" t="s">
        <v>32</v>
      </c>
      <c r="E23" s="2">
        <v>9</v>
      </c>
      <c r="F23" s="2">
        <v>50</v>
      </c>
      <c r="G23" s="5">
        <v>45324</v>
      </c>
    </row>
    <row r="24" spans="1:7" ht="15.75" thickBot="1">
      <c r="A24" s="2">
        <v>1022</v>
      </c>
      <c r="B24" s="2" t="s">
        <v>74</v>
      </c>
      <c r="C24" s="2" t="s">
        <v>34</v>
      </c>
      <c r="D24" s="2" t="s">
        <v>42</v>
      </c>
      <c r="E24" s="2">
        <v>35</v>
      </c>
      <c r="F24" s="2">
        <v>5</v>
      </c>
      <c r="G24" s="5">
        <v>45353</v>
      </c>
    </row>
    <row r="25" spans="1:7" ht="15.75" thickBot="1">
      <c r="A25" s="2">
        <v>1023</v>
      </c>
      <c r="B25" s="2" t="s">
        <v>75</v>
      </c>
      <c r="C25" s="2" t="s">
        <v>37</v>
      </c>
      <c r="D25" s="2" t="s">
        <v>46</v>
      </c>
      <c r="E25" s="2">
        <v>30</v>
      </c>
      <c r="F25" s="2">
        <v>8</v>
      </c>
      <c r="G25" s="5">
        <v>45384</v>
      </c>
    </row>
    <row r="26" spans="1:7" ht="30.75" thickBot="1">
      <c r="A26" s="2">
        <v>1024</v>
      </c>
      <c r="B26" s="2" t="s">
        <v>76</v>
      </c>
      <c r="C26" s="2" t="s">
        <v>40</v>
      </c>
      <c r="D26" s="2" t="s">
        <v>32</v>
      </c>
      <c r="E26" s="2">
        <v>11</v>
      </c>
      <c r="F26" s="2">
        <v>50</v>
      </c>
      <c r="G26" s="5">
        <v>45445</v>
      </c>
    </row>
    <row r="27" spans="1:7" ht="30.75" thickBot="1">
      <c r="A27" s="2">
        <v>1025</v>
      </c>
      <c r="B27" s="2" t="s">
        <v>77</v>
      </c>
      <c r="C27" s="2" t="s">
        <v>31</v>
      </c>
      <c r="D27" s="2" t="s">
        <v>35</v>
      </c>
      <c r="E27" s="2">
        <v>14</v>
      </c>
      <c r="F27" s="2">
        <v>10</v>
      </c>
      <c r="G27" s="5">
        <v>45475</v>
      </c>
    </row>
    <row r="28" spans="1:7" ht="30.75" thickBot="1">
      <c r="A28" s="2">
        <v>1026</v>
      </c>
      <c r="B28" s="2" t="s">
        <v>78</v>
      </c>
      <c r="C28" s="2" t="s">
        <v>34</v>
      </c>
      <c r="D28" s="2" t="s">
        <v>38</v>
      </c>
      <c r="E28" s="2">
        <v>16</v>
      </c>
      <c r="F28" s="2">
        <v>25</v>
      </c>
      <c r="G28" s="5">
        <v>45506</v>
      </c>
    </row>
    <row r="29" spans="1:7" ht="15.75" thickBot="1">
      <c r="A29" s="2">
        <v>1027</v>
      </c>
      <c r="B29" s="2" t="s">
        <v>79</v>
      </c>
      <c r="C29" s="2" t="s">
        <v>37</v>
      </c>
      <c r="D29" s="2" t="s">
        <v>42</v>
      </c>
      <c r="E29" s="2">
        <v>22</v>
      </c>
      <c r="F29" s="2">
        <v>5</v>
      </c>
      <c r="G29" s="5">
        <v>45537</v>
      </c>
    </row>
    <row r="30" spans="1:7" ht="15.75" thickBot="1">
      <c r="A30" s="2">
        <v>1028</v>
      </c>
      <c r="B30" s="2" t="s">
        <v>80</v>
      </c>
      <c r="C30" s="2" t="s">
        <v>40</v>
      </c>
      <c r="D30" s="2" t="s">
        <v>46</v>
      </c>
      <c r="E30" s="2">
        <v>27</v>
      </c>
      <c r="F30" s="2">
        <v>8</v>
      </c>
      <c r="G30" s="5">
        <v>45567</v>
      </c>
    </row>
    <row r="31" spans="1:7" ht="30.75" thickBot="1">
      <c r="A31" s="2">
        <v>1029</v>
      </c>
      <c r="B31" s="2" t="s">
        <v>81</v>
      </c>
      <c r="C31" s="2" t="s">
        <v>31</v>
      </c>
      <c r="D31" s="2" t="s">
        <v>32</v>
      </c>
      <c r="E31" s="2">
        <v>13</v>
      </c>
      <c r="F31" s="2">
        <v>50</v>
      </c>
      <c r="G31" s="5">
        <v>45628</v>
      </c>
    </row>
    <row r="32" spans="1:7" ht="30.75" thickBot="1">
      <c r="A32" s="2">
        <v>1030</v>
      </c>
      <c r="B32" s="2" t="s">
        <v>82</v>
      </c>
      <c r="C32" s="2" t="s">
        <v>34</v>
      </c>
      <c r="D32" s="2" t="s">
        <v>35</v>
      </c>
      <c r="E32" s="2">
        <v>32</v>
      </c>
      <c r="F32" s="2">
        <v>10</v>
      </c>
      <c r="G32" s="2" t="s">
        <v>83</v>
      </c>
    </row>
    <row r="33" spans="1:7" ht="30.75" thickBot="1">
      <c r="A33" s="2">
        <v>1031</v>
      </c>
      <c r="B33" s="2" t="s">
        <v>84</v>
      </c>
      <c r="C33" s="2" t="s">
        <v>37</v>
      </c>
      <c r="D33" s="2" t="s">
        <v>38</v>
      </c>
      <c r="E33" s="2">
        <v>10</v>
      </c>
      <c r="F33" s="2">
        <v>25</v>
      </c>
      <c r="G33" s="2" t="s">
        <v>85</v>
      </c>
    </row>
    <row r="34" spans="1:7" ht="30.75" thickBot="1">
      <c r="A34" s="2">
        <v>1032</v>
      </c>
      <c r="B34" s="2" t="s">
        <v>86</v>
      </c>
      <c r="C34" s="2" t="s">
        <v>40</v>
      </c>
      <c r="D34" s="2" t="s">
        <v>42</v>
      </c>
      <c r="E34" s="2">
        <v>18</v>
      </c>
      <c r="F34" s="2">
        <v>5</v>
      </c>
      <c r="G34" s="2" t="s">
        <v>87</v>
      </c>
    </row>
    <row r="35" spans="1:7" ht="30.75" thickBot="1">
      <c r="A35" s="2">
        <v>1033</v>
      </c>
      <c r="B35" s="2" t="s">
        <v>88</v>
      </c>
      <c r="C35" s="2" t="s">
        <v>31</v>
      </c>
      <c r="D35" s="2" t="s">
        <v>46</v>
      </c>
      <c r="E35" s="2">
        <v>22</v>
      </c>
      <c r="F35" s="2">
        <v>8</v>
      </c>
      <c r="G35" s="2" t="s">
        <v>89</v>
      </c>
    </row>
    <row r="36" spans="1:7" ht="30.75" thickBot="1">
      <c r="A36" s="2">
        <v>1034</v>
      </c>
      <c r="B36" s="2" t="s">
        <v>90</v>
      </c>
      <c r="C36" s="2" t="s">
        <v>34</v>
      </c>
      <c r="D36" s="2" t="s">
        <v>32</v>
      </c>
      <c r="E36" s="2">
        <v>17</v>
      </c>
      <c r="F36" s="2">
        <v>50</v>
      </c>
      <c r="G36" s="2" t="s">
        <v>91</v>
      </c>
    </row>
    <row r="37" spans="1:7" ht="30.75" thickBot="1">
      <c r="A37" s="2">
        <v>1035</v>
      </c>
      <c r="B37" s="2" t="s">
        <v>92</v>
      </c>
      <c r="C37" s="2" t="s">
        <v>37</v>
      </c>
      <c r="D37" s="2" t="s">
        <v>35</v>
      </c>
      <c r="E37" s="2">
        <v>19</v>
      </c>
      <c r="F37" s="2">
        <v>10</v>
      </c>
      <c r="G37" s="2" t="s">
        <v>93</v>
      </c>
    </row>
    <row r="38" spans="1:7" ht="30.75" thickBot="1">
      <c r="A38" s="2">
        <v>1036</v>
      </c>
      <c r="B38" s="2" t="s">
        <v>94</v>
      </c>
      <c r="C38" s="2" t="s">
        <v>40</v>
      </c>
      <c r="D38" s="2" t="s">
        <v>38</v>
      </c>
      <c r="E38" s="2">
        <v>15</v>
      </c>
      <c r="F38" s="2">
        <v>25</v>
      </c>
      <c r="G38" s="2" t="s">
        <v>95</v>
      </c>
    </row>
    <row r="39" spans="1:7" ht="30.75" thickBot="1">
      <c r="A39" s="2">
        <v>1037</v>
      </c>
      <c r="B39" s="2" t="s">
        <v>96</v>
      </c>
      <c r="C39" s="2" t="s">
        <v>31</v>
      </c>
      <c r="D39" s="2" t="s">
        <v>42</v>
      </c>
      <c r="E39" s="2">
        <v>28</v>
      </c>
      <c r="F39" s="2">
        <v>5</v>
      </c>
      <c r="G39" s="2" t="s">
        <v>97</v>
      </c>
    </row>
    <row r="40" spans="1:7" ht="30.75" thickBot="1">
      <c r="A40" s="2">
        <v>1038</v>
      </c>
      <c r="B40" s="2" t="s">
        <v>98</v>
      </c>
      <c r="C40" s="2" t="s">
        <v>34</v>
      </c>
      <c r="D40" s="2" t="s">
        <v>46</v>
      </c>
      <c r="E40" s="2">
        <v>24</v>
      </c>
      <c r="F40" s="2">
        <v>8</v>
      </c>
      <c r="G40" s="2" t="s">
        <v>99</v>
      </c>
    </row>
    <row r="41" spans="1:7" ht="30.75" thickBot="1">
      <c r="A41" s="2">
        <v>1039</v>
      </c>
      <c r="B41" s="2" t="s">
        <v>100</v>
      </c>
      <c r="C41" s="2" t="s">
        <v>37</v>
      </c>
      <c r="D41" s="2" t="s">
        <v>32</v>
      </c>
      <c r="E41" s="2">
        <v>16</v>
      </c>
      <c r="F41" s="2">
        <v>50</v>
      </c>
      <c r="G41" s="2" t="s">
        <v>101</v>
      </c>
    </row>
    <row r="42" spans="1:7" ht="30.75" thickBot="1">
      <c r="A42" s="2">
        <v>1040</v>
      </c>
      <c r="B42" s="2" t="s">
        <v>102</v>
      </c>
      <c r="C42" s="2" t="s">
        <v>40</v>
      </c>
      <c r="D42" s="2" t="s">
        <v>35</v>
      </c>
      <c r="E42" s="2">
        <v>27</v>
      </c>
      <c r="F42" s="2">
        <v>10</v>
      </c>
      <c r="G42" s="2" t="s">
        <v>103</v>
      </c>
    </row>
    <row r="43" spans="1:7" ht="30.75" thickBot="1">
      <c r="A43" s="2">
        <v>1041</v>
      </c>
      <c r="B43" s="2" t="s">
        <v>104</v>
      </c>
      <c r="C43" s="2" t="s">
        <v>31</v>
      </c>
      <c r="D43" s="2" t="s">
        <v>38</v>
      </c>
      <c r="E43" s="2">
        <v>21</v>
      </c>
      <c r="F43" s="2">
        <v>25</v>
      </c>
      <c r="G43" s="2" t="s">
        <v>105</v>
      </c>
    </row>
    <row r="44" spans="1:7" ht="30.75" thickBot="1">
      <c r="A44" s="2">
        <v>1042</v>
      </c>
      <c r="B44" s="2" t="s">
        <v>106</v>
      </c>
      <c r="C44" s="2" t="s">
        <v>34</v>
      </c>
      <c r="D44" s="2" t="s">
        <v>42</v>
      </c>
      <c r="E44" s="2">
        <v>30</v>
      </c>
      <c r="F44" s="2">
        <v>5</v>
      </c>
      <c r="G44" s="2" t="s">
        <v>107</v>
      </c>
    </row>
    <row r="45" spans="1:7" ht="30.75" thickBot="1">
      <c r="A45" s="2">
        <v>1043</v>
      </c>
      <c r="B45" s="2" t="s">
        <v>108</v>
      </c>
      <c r="C45" s="2" t="s">
        <v>37</v>
      </c>
      <c r="D45" s="2" t="s">
        <v>46</v>
      </c>
      <c r="E45" s="2">
        <v>26</v>
      </c>
      <c r="F45" s="2">
        <v>8</v>
      </c>
      <c r="G45" s="5">
        <v>45294</v>
      </c>
    </row>
    <row r="46" spans="1:7" ht="30.75" thickBot="1">
      <c r="A46" s="2">
        <v>1044</v>
      </c>
      <c r="B46" s="2" t="s">
        <v>109</v>
      </c>
      <c r="C46" s="2" t="s">
        <v>40</v>
      </c>
      <c r="D46" s="2" t="s">
        <v>32</v>
      </c>
      <c r="E46" s="2">
        <v>14</v>
      </c>
      <c r="F46" s="2">
        <v>50</v>
      </c>
      <c r="G46" s="5">
        <v>45325</v>
      </c>
    </row>
    <row r="47" spans="1:7" ht="15.75" thickBot="1">
      <c r="A47" s="2">
        <v>1045</v>
      </c>
      <c r="B47" s="2" t="s">
        <v>110</v>
      </c>
      <c r="C47" s="2" t="s">
        <v>31</v>
      </c>
      <c r="D47" s="2" t="s">
        <v>35</v>
      </c>
      <c r="E47" s="2">
        <v>20</v>
      </c>
      <c r="F47" s="2">
        <v>10</v>
      </c>
      <c r="G47" s="5">
        <v>45354</v>
      </c>
    </row>
    <row r="48" spans="1:7" ht="15.75" thickBot="1">
      <c r="A48" s="2">
        <v>1046</v>
      </c>
      <c r="B48" s="2" t="s">
        <v>111</v>
      </c>
      <c r="C48" s="2" t="s">
        <v>34</v>
      </c>
      <c r="D48" s="2" t="s">
        <v>38</v>
      </c>
      <c r="E48" s="2">
        <v>17</v>
      </c>
      <c r="F48" s="2">
        <v>25</v>
      </c>
      <c r="G48" s="5">
        <v>45385</v>
      </c>
    </row>
    <row r="49" spans="1:7" ht="30.75" thickBot="1">
      <c r="A49" s="2">
        <v>1047</v>
      </c>
      <c r="B49" s="2" t="s">
        <v>112</v>
      </c>
      <c r="C49" s="2" t="s">
        <v>37</v>
      </c>
      <c r="D49" s="2" t="s">
        <v>42</v>
      </c>
      <c r="E49" s="2">
        <v>19</v>
      </c>
      <c r="F49" s="2">
        <v>5</v>
      </c>
      <c r="G49" s="5">
        <v>45415</v>
      </c>
    </row>
    <row r="50" spans="1:7" ht="15.75" thickBot="1">
      <c r="A50" s="2">
        <v>1048</v>
      </c>
      <c r="B50" s="2" t="s">
        <v>113</v>
      </c>
      <c r="C50" s="2" t="s">
        <v>40</v>
      </c>
      <c r="D50" s="2" t="s">
        <v>46</v>
      </c>
      <c r="E50" s="2">
        <v>32</v>
      </c>
      <c r="F50" s="2">
        <v>8</v>
      </c>
      <c r="G50" s="5">
        <v>45446</v>
      </c>
    </row>
    <row r="51" spans="1:7" ht="30.75" thickBot="1">
      <c r="A51" s="2">
        <v>1049</v>
      </c>
      <c r="B51" s="2" t="s">
        <v>114</v>
      </c>
      <c r="C51" s="2" t="s">
        <v>31</v>
      </c>
      <c r="D51" s="2" t="s">
        <v>32</v>
      </c>
      <c r="E51" s="2">
        <v>12</v>
      </c>
      <c r="F51" s="2">
        <v>50</v>
      </c>
      <c r="G51" s="5">
        <v>45476</v>
      </c>
    </row>
    <row r="52" spans="1:7" ht="30.75" thickBot="1">
      <c r="A52" s="2">
        <v>1050</v>
      </c>
      <c r="B52" s="2" t="s">
        <v>115</v>
      </c>
      <c r="C52" s="2" t="s">
        <v>34</v>
      </c>
      <c r="D52" s="2" t="s">
        <v>35</v>
      </c>
      <c r="E52" s="2">
        <v>25</v>
      </c>
      <c r="F52" s="2">
        <v>10</v>
      </c>
      <c r="G52" s="5">
        <v>45507</v>
      </c>
    </row>
    <row r="54" spans="1:7">
      <c r="A54" s="6" t="s">
        <v>125</v>
      </c>
      <c r="B54" s="6">
        <f>COUNTA(B3:B52)</f>
        <v>50</v>
      </c>
    </row>
  </sheetData>
  <mergeCells count="1">
    <mergeCell ref="A1:G1"/>
  </mergeCells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03333-999F-4B1B-90F2-D43167144E54}">
  <dimension ref="A1:I53"/>
  <sheetViews>
    <sheetView tabSelected="1" workbookViewId="0">
      <selection activeCell="B17" sqref="B17"/>
    </sheetView>
  </sheetViews>
  <sheetFormatPr defaultRowHeight="15"/>
  <cols>
    <col min="1" max="1" width="8" bestFit="1" customWidth="1"/>
    <col min="7" max="7" width="13.7109375" bestFit="1" customWidth="1"/>
  </cols>
  <sheetData>
    <row r="1" spans="1:9" ht="19.5" thickBot="1">
      <c r="A1" s="15" t="s">
        <v>117</v>
      </c>
      <c r="B1" s="15"/>
      <c r="C1" s="15"/>
      <c r="D1" s="15"/>
      <c r="E1" s="15"/>
      <c r="F1" s="15"/>
      <c r="G1" s="14"/>
      <c r="H1" s="16"/>
      <c r="I1" s="16"/>
    </row>
    <row r="2" spans="1:9" ht="30.75" thickBot="1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7" t="s">
        <v>118</v>
      </c>
      <c r="H2" s="3" t="s">
        <v>44</v>
      </c>
    </row>
    <row r="3" spans="1:9" ht="30.75" thickBot="1">
      <c r="A3" s="2">
        <v>1001</v>
      </c>
      <c r="B3" s="2" t="s">
        <v>30</v>
      </c>
      <c r="C3" s="2" t="s">
        <v>31</v>
      </c>
      <c r="D3" s="2" t="s">
        <v>32</v>
      </c>
      <c r="E3" s="2">
        <v>10</v>
      </c>
      <c r="F3" s="2">
        <v>50</v>
      </c>
      <c r="G3" s="8">
        <f>PRODUCT(E3*F3)</f>
        <v>500</v>
      </c>
      <c r="H3" s="5">
        <v>45413</v>
      </c>
    </row>
    <row r="4" spans="1:9" ht="30.75" thickBot="1">
      <c r="A4" s="2">
        <v>1002</v>
      </c>
      <c r="B4" s="2" t="s">
        <v>33</v>
      </c>
      <c r="C4" s="2" t="s">
        <v>34</v>
      </c>
      <c r="D4" s="2" t="s">
        <v>35</v>
      </c>
      <c r="E4" s="2">
        <v>20</v>
      </c>
      <c r="F4" s="2">
        <v>10</v>
      </c>
      <c r="G4" s="8">
        <f t="shared" ref="G4:G52" si="0">PRODUCT(E4*F4)</f>
        <v>200</v>
      </c>
      <c r="H4" s="5">
        <v>45444</v>
      </c>
    </row>
    <row r="5" spans="1:9" ht="30.75" thickBot="1">
      <c r="A5" s="2">
        <v>1003</v>
      </c>
      <c r="B5" s="2" t="s">
        <v>36</v>
      </c>
      <c r="C5" s="2" t="s">
        <v>37</v>
      </c>
      <c r="D5" s="2" t="s">
        <v>38</v>
      </c>
      <c r="E5" s="2">
        <v>15</v>
      </c>
      <c r="F5" s="2">
        <v>25</v>
      </c>
      <c r="G5" s="8">
        <f t="shared" si="0"/>
        <v>375</v>
      </c>
      <c r="H5" s="5">
        <v>45474</v>
      </c>
    </row>
    <row r="6" spans="1:9" ht="30.75" thickBot="1">
      <c r="A6" s="2">
        <v>1004</v>
      </c>
      <c r="B6" s="2" t="s">
        <v>39</v>
      </c>
      <c r="C6" s="2" t="s">
        <v>40</v>
      </c>
      <c r="D6" s="2" t="s">
        <v>32</v>
      </c>
      <c r="E6" s="2">
        <v>5</v>
      </c>
      <c r="F6" s="2">
        <v>50</v>
      </c>
      <c r="G6" s="8">
        <f t="shared" si="0"/>
        <v>250</v>
      </c>
      <c r="H6" s="5">
        <v>45505</v>
      </c>
    </row>
    <row r="7" spans="1:9" ht="30.75" thickBot="1">
      <c r="A7" s="2">
        <v>1005</v>
      </c>
      <c r="B7" s="2" t="s">
        <v>41</v>
      </c>
      <c r="C7" s="2" t="s">
        <v>31</v>
      </c>
      <c r="D7" s="2" t="s">
        <v>42</v>
      </c>
      <c r="E7" s="2">
        <v>30</v>
      </c>
      <c r="F7" s="2">
        <v>5</v>
      </c>
      <c r="G7" s="8">
        <f t="shared" si="0"/>
        <v>150</v>
      </c>
      <c r="H7" s="5">
        <v>45566</v>
      </c>
    </row>
    <row r="8" spans="1:9" ht="30.75" thickBot="1">
      <c r="A8" s="2">
        <v>1006</v>
      </c>
      <c r="B8" s="2" t="s">
        <v>43</v>
      </c>
      <c r="C8" s="2" t="s">
        <v>34</v>
      </c>
      <c r="D8" s="2" t="s">
        <v>32</v>
      </c>
      <c r="E8" s="2">
        <v>12</v>
      </c>
      <c r="F8" s="2">
        <v>50</v>
      </c>
      <c r="G8" s="8">
        <f t="shared" si="0"/>
        <v>600</v>
      </c>
      <c r="H8" s="5">
        <v>45597</v>
      </c>
    </row>
    <row r="9" spans="1:9" ht="30.75" thickBot="1">
      <c r="A9" s="2">
        <v>1007</v>
      </c>
      <c r="B9" s="2" t="s">
        <v>45</v>
      </c>
      <c r="C9" s="2" t="s">
        <v>37</v>
      </c>
      <c r="D9" s="2" t="s">
        <v>46</v>
      </c>
      <c r="E9" s="2">
        <v>25</v>
      </c>
      <c r="F9" s="2">
        <v>8</v>
      </c>
      <c r="G9" s="8">
        <f t="shared" si="0"/>
        <v>200</v>
      </c>
      <c r="H9" s="2" t="s">
        <v>47</v>
      </c>
    </row>
    <row r="10" spans="1:9" ht="30.75" thickBot="1">
      <c r="A10" s="2">
        <v>1008</v>
      </c>
      <c r="B10" s="2" t="s">
        <v>48</v>
      </c>
      <c r="C10" s="2" t="s">
        <v>40</v>
      </c>
      <c r="D10" s="2" t="s">
        <v>35</v>
      </c>
      <c r="E10" s="2">
        <v>18</v>
      </c>
      <c r="F10" s="2">
        <v>10</v>
      </c>
      <c r="G10" s="8">
        <f t="shared" si="0"/>
        <v>180</v>
      </c>
      <c r="H10" s="2" t="s">
        <v>49</v>
      </c>
    </row>
    <row r="11" spans="1:9" ht="30.75" thickBot="1">
      <c r="A11" s="2">
        <v>1009</v>
      </c>
      <c r="B11" s="2" t="s">
        <v>50</v>
      </c>
      <c r="C11" s="2" t="s">
        <v>31</v>
      </c>
      <c r="D11" s="2" t="s">
        <v>38</v>
      </c>
      <c r="E11" s="2">
        <v>22</v>
      </c>
      <c r="F11" s="2">
        <v>25</v>
      </c>
      <c r="G11" s="8">
        <f t="shared" si="0"/>
        <v>550</v>
      </c>
      <c r="H11" s="2" t="s">
        <v>51</v>
      </c>
    </row>
    <row r="12" spans="1:9" ht="30.75" thickBot="1">
      <c r="A12" s="2">
        <v>1010</v>
      </c>
      <c r="B12" s="2" t="s">
        <v>52</v>
      </c>
      <c r="C12" s="2" t="s">
        <v>34</v>
      </c>
      <c r="D12" s="2" t="s">
        <v>32</v>
      </c>
      <c r="E12" s="2">
        <v>8</v>
      </c>
      <c r="F12" s="2">
        <v>50</v>
      </c>
      <c r="G12" s="8">
        <f t="shared" si="0"/>
        <v>400</v>
      </c>
      <c r="H12" s="2" t="s">
        <v>53</v>
      </c>
    </row>
    <row r="13" spans="1:9" ht="30.75" thickBot="1">
      <c r="A13" s="2">
        <v>1011</v>
      </c>
      <c r="B13" s="2" t="s">
        <v>54</v>
      </c>
      <c r="C13" s="2" t="s">
        <v>37</v>
      </c>
      <c r="D13" s="2" t="s">
        <v>42</v>
      </c>
      <c r="E13" s="2">
        <v>40</v>
      </c>
      <c r="F13" s="2">
        <v>5</v>
      </c>
      <c r="G13" s="8">
        <f t="shared" si="0"/>
        <v>200</v>
      </c>
      <c r="H13" s="2" t="s">
        <v>55</v>
      </c>
    </row>
    <row r="14" spans="1:9" ht="30.75" thickBot="1">
      <c r="A14" s="2">
        <v>1012</v>
      </c>
      <c r="B14" s="2" t="s">
        <v>56</v>
      </c>
      <c r="C14" s="2" t="s">
        <v>40</v>
      </c>
      <c r="D14" s="2" t="s">
        <v>46</v>
      </c>
      <c r="E14" s="2">
        <v>35</v>
      </c>
      <c r="F14" s="2">
        <v>8</v>
      </c>
      <c r="G14" s="8">
        <f t="shared" si="0"/>
        <v>280</v>
      </c>
      <c r="H14" s="2" t="s">
        <v>57</v>
      </c>
    </row>
    <row r="15" spans="1:9" ht="30.75" thickBot="1">
      <c r="A15" s="2">
        <v>1013</v>
      </c>
      <c r="B15" s="2" t="s">
        <v>58</v>
      </c>
      <c r="C15" s="2" t="s">
        <v>31</v>
      </c>
      <c r="D15" s="2" t="s">
        <v>32</v>
      </c>
      <c r="E15" s="2">
        <v>14</v>
      </c>
      <c r="F15" s="2">
        <v>50</v>
      </c>
      <c r="G15" s="8">
        <f t="shared" si="0"/>
        <v>700</v>
      </c>
      <c r="H15" s="2" t="s">
        <v>59</v>
      </c>
    </row>
    <row r="16" spans="1:9" ht="30.75" thickBot="1">
      <c r="A16" s="2">
        <v>1014</v>
      </c>
      <c r="B16" s="2" t="s">
        <v>60</v>
      </c>
      <c r="C16" s="2" t="s">
        <v>34</v>
      </c>
      <c r="D16" s="2" t="s">
        <v>35</v>
      </c>
      <c r="E16" s="2">
        <v>28</v>
      </c>
      <c r="F16" s="2">
        <v>10</v>
      </c>
      <c r="G16" s="8">
        <f t="shared" si="0"/>
        <v>280</v>
      </c>
      <c r="H16" s="2" t="s">
        <v>61</v>
      </c>
    </row>
    <row r="17" spans="1:8" ht="30.75" thickBot="1">
      <c r="A17" s="2">
        <v>1015</v>
      </c>
      <c r="B17" s="2" t="s">
        <v>62</v>
      </c>
      <c r="C17" s="2" t="s">
        <v>37</v>
      </c>
      <c r="D17" s="2" t="s">
        <v>38</v>
      </c>
      <c r="E17" s="2">
        <v>12</v>
      </c>
      <c r="F17" s="2">
        <v>25</v>
      </c>
      <c r="G17" s="8">
        <f t="shared" si="0"/>
        <v>300</v>
      </c>
      <c r="H17" s="2" t="s">
        <v>63</v>
      </c>
    </row>
    <row r="18" spans="1:8" ht="30.75" thickBot="1">
      <c r="A18" s="2">
        <v>1016</v>
      </c>
      <c r="B18" s="2" t="s">
        <v>64</v>
      </c>
      <c r="C18" s="2" t="s">
        <v>40</v>
      </c>
      <c r="D18" s="2" t="s">
        <v>42</v>
      </c>
      <c r="E18" s="2">
        <v>25</v>
      </c>
      <c r="F18" s="2">
        <v>5</v>
      </c>
      <c r="G18" s="8">
        <f t="shared" si="0"/>
        <v>125</v>
      </c>
      <c r="H18" s="2" t="s">
        <v>65</v>
      </c>
    </row>
    <row r="19" spans="1:8" ht="30.75" thickBot="1">
      <c r="A19" s="2">
        <v>1017</v>
      </c>
      <c r="B19" s="2" t="s">
        <v>66</v>
      </c>
      <c r="C19" s="2" t="s">
        <v>31</v>
      </c>
      <c r="D19" s="2" t="s">
        <v>46</v>
      </c>
      <c r="E19" s="2">
        <v>20</v>
      </c>
      <c r="F19" s="2">
        <v>8</v>
      </c>
      <c r="G19" s="8">
        <f t="shared" si="0"/>
        <v>160</v>
      </c>
      <c r="H19" s="2" t="s">
        <v>67</v>
      </c>
    </row>
    <row r="20" spans="1:8" ht="30.75" thickBot="1">
      <c r="A20" s="2">
        <v>1018</v>
      </c>
      <c r="B20" s="2" t="s">
        <v>68</v>
      </c>
      <c r="C20" s="2" t="s">
        <v>34</v>
      </c>
      <c r="D20" s="2" t="s">
        <v>32</v>
      </c>
      <c r="E20" s="2">
        <v>10</v>
      </c>
      <c r="F20" s="2">
        <v>50</v>
      </c>
      <c r="G20" s="8">
        <f t="shared" si="0"/>
        <v>500</v>
      </c>
      <c r="H20" s="2" t="s">
        <v>69</v>
      </c>
    </row>
    <row r="21" spans="1:8" ht="30.75" thickBot="1">
      <c r="A21" s="2">
        <v>1019</v>
      </c>
      <c r="B21" s="2" t="s">
        <v>70</v>
      </c>
      <c r="C21" s="2" t="s">
        <v>37</v>
      </c>
      <c r="D21" s="2" t="s">
        <v>35</v>
      </c>
      <c r="E21" s="2">
        <v>15</v>
      </c>
      <c r="F21" s="2">
        <v>10</v>
      </c>
      <c r="G21" s="8">
        <f t="shared" si="0"/>
        <v>150</v>
      </c>
      <c r="H21" s="2" t="s">
        <v>71</v>
      </c>
    </row>
    <row r="22" spans="1:8" ht="30.75" thickBot="1">
      <c r="A22" s="2">
        <v>1020</v>
      </c>
      <c r="B22" s="2" t="s">
        <v>72</v>
      </c>
      <c r="C22" s="2" t="s">
        <v>40</v>
      </c>
      <c r="D22" s="2" t="s">
        <v>38</v>
      </c>
      <c r="E22" s="2">
        <v>18</v>
      </c>
      <c r="F22" s="2">
        <v>25</v>
      </c>
      <c r="G22" s="8">
        <f t="shared" si="0"/>
        <v>450</v>
      </c>
      <c r="H22" s="5">
        <v>45293</v>
      </c>
    </row>
    <row r="23" spans="1:8" ht="30.75" thickBot="1">
      <c r="A23" s="2">
        <v>1021</v>
      </c>
      <c r="B23" s="2" t="s">
        <v>73</v>
      </c>
      <c r="C23" s="2" t="s">
        <v>31</v>
      </c>
      <c r="D23" s="2" t="s">
        <v>32</v>
      </c>
      <c r="E23" s="2">
        <v>9</v>
      </c>
      <c r="F23" s="2">
        <v>50</v>
      </c>
      <c r="G23" s="8">
        <f t="shared" si="0"/>
        <v>450</v>
      </c>
      <c r="H23" s="5">
        <v>45324</v>
      </c>
    </row>
    <row r="24" spans="1:8" ht="30.75" thickBot="1">
      <c r="A24" s="2">
        <v>1022</v>
      </c>
      <c r="B24" s="2" t="s">
        <v>74</v>
      </c>
      <c r="C24" s="2" t="s">
        <v>34</v>
      </c>
      <c r="D24" s="2" t="s">
        <v>42</v>
      </c>
      <c r="E24" s="2">
        <v>35</v>
      </c>
      <c r="F24" s="2">
        <v>5</v>
      </c>
      <c r="G24" s="8">
        <f t="shared" si="0"/>
        <v>175</v>
      </c>
      <c r="H24" s="5">
        <v>45353</v>
      </c>
    </row>
    <row r="25" spans="1:8" ht="30.75" thickBot="1">
      <c r="A25" s="2">
        <v>1023</v>
      </c>
      <c r="B25" s="2" t="s">
        <v>75</v>
      </c>
      <c r="C25" s="2" t="s">
        <v>37</v>
      </c>
      <c r="D25" s="2" t="s">
        <v>46</v>
      </c>
      <c r="E25" s="2">
        <v>30</v>
      </c>
      <c r="F25" s="2">
        <v>8</v>
      </c>
      <c r="G25" s="8">
        <f t="shared" si="0"/>
        <v>240</v>
      </c>
      <c r="H25" s="5">
        <v>45384</v>
      </c>
    </row>
    <row r="26" spans="1:8" ht="30.75" thickBot="1">
      <c r="A26" s="2">
        <v>1024</v>
      </c>
      <c r="B26" s="2" t="s">
        <v>76</v>
      </c>
      <c r="C26" s="2" t="s">
        <v>40</v>
      </c>
      <c r="D26" s="2" t="s">
        <v>32</v>
      </c>
      <c r="E26" s="2">
        <v>11</v>
      </c>
      <c r="F26" s="2">
        <v>50</v>
      </c>
      <c r="G26" s="8">
        <f t="shared" si="0"/>
        <v>550</v>
      </c>
      <c r="H26" s="5">
        <v>45445</v>
      </c>
    </row>
    <row r="27" spans="1:8" ht="30.75" thickBot="1">
      <c r="A27" s="2">
        <v>1025</v>
      </c>
      <c r="B27" s="2" t="s">
        <v>77</v>
      </c>
      <c r="C27" s="2" t="s">
        <v>31</v>
      </c>
      <c r="D27" s="2" t="s">
        <v>35</v>
      </c>
      <c r="E27" s="2">
        <v>14</v>
      </c>
      <c r="F27" s="2">
        <v>10</v>
      </c>
      <c r="G27" s="8">
        <f t="shared" si="0"/>
        <v>140</v>
      </c>
      <c r="H27" s="5">
        <v>45475</v>
      </c>
    </row>
    <row r="28" spans="1:8" ht="30.75" thickBot="1">
      <c r="A28" s="2">
        <v>1026</v>
      </c>
      <c r="B28" s="2" t="s">
        <v>78</v>
      </c>
      <c r="C28" s="2" t="s">
        <v>34</v>
      </c>
      <c r="D28" s="2" t="s">
        <v>38</v>
      </c>
      <c r="E28" s="2">
        <v>16</v>
      </c>
      <c r="F28" s="2">
        <v>25</v>
      </c>
      <c r="G28" s="8">
        <f t="shared" si="0"/>
        <v>400</v>
      </c>
      <c r="H28" s="5">
        <v>45506</v>
      </c>
    </row>
    <row r="29" spans="1:8" ht="30.75" thickBot="1">
      <c r="A29" s="2">
        <v>1027</v>
      </c>
      <c r="B29" s="2" t="s">
        <v>79</v>
      </c>
      <c r="C29" s="2" t="s">
        <v>37</v>
      </c>
      <c r="D29" s="2" t="s">
        <v>42</v>
      </c>
      <c r="E29" s="2">
        <v>22</v>
      </c>
      <c r="F29" s="2">
        <v>5</v>
      </c>
      <c r="G29" s="8">
        <f t="shared" si="0"/>
        <v>110</v>
      </c>
      <c r="H29" s="5">
        <v>45537</v>
      </c>
    </row>
    <row r="30" spans="1:8" ht="30.75" thickBot="1">
      <c r="A30" s="2">
        <v>1028</v>
      </c>
      <c r="B30" s="2" t="s">
        <v>80</v>
      </c>
      <c r="C30" s="2" t="s">
        <v>40</v>
      </c>
      <c r="D30" s="2" t="s">
        <v>46</v>
      </c>
      <c r="E30" s="2">
        <v>27</v>
      </c>
      <c r="F30" s="2">
        <v>8</v>
      </c>
      <c r="G30" s="8">
        <f t="shared" si="0"/>
        <v>216</v>
      </c>
      <c r="H30" s="5">
        <v>45567</v>
      </c>
    </row>
    <row r="31" spans="1:8" ht="30.75" thickBot="1">
      <c r="A31" s="2">
        <v>1029</v>
      </c>
      <c r="B31" s="2" t="s">
        <v>81</v>
      </c>
      <c r="C31" s="2" t="s">
        <v>31</v>
      </c>
      <c r="D31" s="2" t="s">
        <v>32</v>
      </c>
      <c r="E31" s="2">
        <v>13</v>
      </c>
      <c r="F31" s="2">
        <v>50</v>
      </c>
      <c r="G31" s="8">
        <f t="shared" si="0"/>
        <v>650</v>
      </c>
      <c r="H31" s="5">
        <v>45628</v>
      </c>
    </row>
    <row r="32" spans="1:8" ht="30.75" thickBot="1">
      <c r="A32" s="2">
        <v>1030</v>
      </c>
      <c r="B32" s="2" t="s">
        <v>82</v>
      </c>
      <c r="C32" s="2" t="s">
        <v>34</v>
      </c>
      <c r="D32" s="2" t="s">
        <v>35</v>
      </c>
      <c r="E32" s="2">
        <v>32</v>
      </c>
      <c r="F32" s="2">
        <v>10</v>
      </c>
      <c r="G32" s="8">
        <f t="shared" si="0"/>
        <v>320</v>
      </c>
      <c r="H32" s="2" t="s">
        <v>83</v>
      </c>
    </row>
    <row r="33" spans="1:8" ht="30.75" thickBot="1">
      <c r="A33" s="2">
        <v>1031</v>
      </c>
      <c r="B33" s="2" t="s">
        <v>84</v>
      </c>
      <c r="C33" s="2" t="s">
        <v>37</v>
      </c>
      <c r="D33" s="2" t="s">
        <v>38</v>
      </c>
      <c r="E33" s="2">
        <v>10</v>
      </c>
      <c r="F33" s="2">
        <v>25</v>
      </c>
      <c r="G33" s="8">
        <f t="shared" si="0"/>
        <v>250</v>
      </c>
      <c r="H33" s="2" t="s">
        <v>85</v>
      </c>
    </row>
    <row r="34" spans="1:8" ht="30.75" thickBot="1">
      <c r="A34" s="2">
        <v>1032</v>
      </c>
      <c r="B34" s="2" t="s">
        <v>86</v>
      </c>
      <c r="C34" s="2" t="s">
        <v>40</v>
      </c>
      <c r="D34" s="2" t="s">
        <v>42</v>
      </c>
      <c r="E34" s="2">
        <v>18</v>
      </c>
      <c r="F34" s="2">
        <v>5</v>
      </c>
      <c r="G34" s="8">
        <f t="shared" si="0"/>
        <v>90</v>
      </c>
      <c r="H34" s="2" t="s">
        <v>87</v>
      </c>
    </row>
    <row r="35" spans="1:8" ht="30.75" thickBot="1">
      <c r="A35" s="2">
        <v>1033</v>
      </c>
      <c r="B35" s="2" t="s">
        <v>88</v>
      </c>
      <c r="C35" s="2" t="s">
        <v>31</v>
      </c>
      <c r="D35" s="2" t="s">
        <v>46</v>
      </c>
      <c r="E35" s="2">
        <v>22</v>
      </c>
      <c r="F35" s="2">
        <v>8</v>
      </c>
      <c r="G35" s="8">
        <f t="shared" si="0"/>
        <v>176</v>
      </c>
      <c r="H35" s="2" t="s">
        <v>89</v>
      </c>
    </row>
    <row r="36" spans="1:8" ht="30.75" thickBot="1">
      <c r="A36" s="2">
        <v>1034</v>
      </c>
      <c r="B36" s="2" t="s">
        <v>90</v>
      </c>
      <c r="C36" s="2" t="s">
        <v>34</v>
      </c>
      <c r="D36" s="2" t="s">
        <v>32</v>
      </c>
      <c r="E36" s="2">
        <v>17</v>
      </c>
      <c r="F36" s="2">
        <v>50</v>
      </c>
      <c r="G36" s="8">
        <f t="shared" si="0"/>
        <v>850</v>
      </c>
      <c r="H36" s="2" t="s">
        <v>91</v>
      </c>
    </row>
    <row r="37" spans="1:8" ht="30.75" thickBot="1">
      <c r="A37" s="2">
        <v>1035</v>
      </c>
      <c r="B37" s="2" t="s">
        <v>92</v>
      </c>
      <c r="C37" s="2" t="s">
        <v>37</v>
      </c>
      <c r="D37" s="2" t="s">
        <v>35</v>
      </c>
      <c r="E37" s="2">
        <v>19</v>
      </c>
      <c r="F37" s="2">
        <v>10</v>
      </c>
      <c r="G37" s="8">
        <f t="shared" si="0"/>
        <v>190</v>
      </c>
      <c r="H37" s="2" t="s">
        <v>93</v>
      </c>
    </row>
    <row r="38" spans="1:8" ht="30.75" thickBot="1">
      <c r="A38" s="2">
        <v>1036</v>
      </c>
      <c r="B38" s="2" t="s">
        <v>94</v>
      </c>
      <c r="C38" s="2" t="s">
        <v>40</v>
      </c>
      <c r="D38" s="2" t="s">
        <v>38</v>
      </c>
      <c r="E38" s="2">
        <v>15</v>
      </c>
      <c r="F38" s="2">
        <v>25</v>
      </c>
      <c r="G38" s="8">
        <f t="shared" si="0"/>
        <v>375</v>
      </c>
      <c r="H38" s="2" t="s">
        <v>95</v>
      </c>
    </row>
    <row r="39" spans="1:8" ht="30.75" thickBot="1">
      <c r="A39" s="2">
        <v>1037</v>
      </c>
      <c r="B39" s="2" t="s">
        <v>96</v>
      </c>
      <c r="C39" s="2" t="s">
        <v>31</v>
      </c>
      <c r="D39" s="2" t="s">
        <v>42</v>
      </c>
      <c r="E39" s="2">
        <v>28</v>
      </c>
      <c r="F39" s="2">
        <v>5</v>
      </c>
      <c r="G39" s="8">
        <f t="shared" si="0"/>
        <v>140</v>
      </c>
      <c r="H39" s="2" t="s">
        <v>97</v>
      </c>
    </row>
    <row r="40" spans="1:8" ht="30.75" thickBot="1">
      <c r="A40" s="2">
        <v>1038</v>
      </c>
      <c r="B40" s="2" t="s">
        <v>98</v>
      </c>
      <c r="C40" s="2" t="s">
        <v>34</v>
      </c>
      <c r="D40" s="2" t="s">
        <v>46</v>
      </c>
      <c r="E40" s="2">
        <v>24</v>
      </c>
      <c r="F40" s="2">
        <v>8</v>
      </c>
      <c r="G40" s="8">
        <f t="shared" si="0"/>
        <v>192</v>
      </c>
      <c r="H40" s="2" t="s">
        <v>99</v>
      </c>
    </row>
    <row r="41" spans="1:8" ht="30.75" thickBot="1">
      <c r="A41" s="2">
        <v>1039</v>
      </c>
      <c r="B41" s="2" t="s">
        <v>100</v>
      </c>
      <c r="C41" s="2" t="s">
        <v>37</v>
      </c>
      <c r="D41" s="2" t="s">
        <v>32</v>
      </c>
      <c r="E41" s="2">
        <v>16</v>
      </c>
      <c r="F41" s="2">
        <v>50</v>
      </c>
      <c r="G41" s="8">
        <f t="shared" si="0"/>
        <v>800</v>
      </c>
      <c r="H41" s="2" t="s">
        <v>101</v>
      </c>
    </row>
    <row r="42" spans="1:8" ht="30.75" thickBot="1">
      <c r="A42" s="2">
        <v>1040</v>
      </c>
      <c r="B42" s="2" t="s">
        <v>102</v>
      </c>
      <c r="C42" s="2" t="s">
        <v>40</v>
      </c>
      <c r="D42" s="2" t="s">
        <v>35</v>
      </c>
      <c r="E42" s="2">
        <v>27</v>
      </c>
      <c r="F42" s="2">
        <v>10</v>
      </c>
      <c r="G42" s="8">
        <f t="shared" si="0"/>
        <v>270</v>
      </c>
      <c r="H42" s="2" t="s">
        <v>103</v>
      </c>
    </row>
    <row r="43" spans="1:8" ht="30.75" thickBot="1">
      <c r="A43" s="2">
        <v>1041</v>
      </c>
      <c r="B43" s="2" t="s">
        <v>104</v>
      </c>
      <c r="C43" s="2" t="s">
        <v>31</v>
      </c>
      <c r="D43" s="2" t="s">
        <v>38</v>
      </c>
      <c r="E43" s="2">
        <v>21</v>
      </c>
      <c r="F43" s="2">
        <v>25</v>
      </c>
      <c r="G43" s="8">
        <f t="shared" si="0"/>
        <v>525</v>
      </c>
      <c r="H43" s="2" t="s">
        <v>105</v>
      </c>
    </row>
    <row r="44" spans="1:8" ht="30.75" thickBot="1">
      <c r="A44" s="2">
        <v>1042</v>
      </c>
      <c r="B44" s="2" t="s">
        <v>106</v>
      </c>
      <c r="C44" s="2" t="s">
        <v>34</v>
      </c>
      <c r="D44" s="2" t="s">
        <v>42</v>
      </c>
      <c r="E44" s="2">
        <v>30</v>
      </c>
      <c r="F44" s="2">
        <v>5</v>
      </c>
      <c r="G44" s="8">
        <f t="shared" si="0"/>
        <v>150</v>
      </c>
      <c r="H44" s="2" t="s">
        <v>107</v>
      </c>
    </row>
    <row r="45" spans="1:8" ht="30.75" thickBot="1">
      <c r="A45" s="2">
        <v>1043</v>
      </c>
      <c r="B45" s="2" t="s">
        <v>108</v>
      </c>
      <c r="C45" s="2" t="s">
        <v>37</v>
      </c>
      <c r="D45" s="2" t="s">
        <v>46</v>
      </c>
      <c r="E45" s="2">
        <v>26</v>
      </c>
      <c r="F45" s="2">
        <v>8</v>
      </c>
      <c r="G45" s="8">
        <f t="shared" si="0"/>
        <v>208</v>
      </c>
      <c r="H45" s="5">
        <v>45294</v>
      </c>
    </row>
    <row r="46" spans="1:8" ht="30.75" thickBot="1">
      <c r="A46" s="2">
        <v>1044</v>
      </c>
      <c r="B46" s="2" t="s">
        <v>109</v>
      </c>
      <c r="C46" s="2" t="s">
        <v>40</v>
      </c>
      <c r="D46" s="2" t="s">
        <v>32</v>
      </c>
      <c r="E46" s="2">
        <v>14</v>
      </c>
      <c r="F46" s="2">
        <v>50</v>
      </c>
      <c r="G46" s="8">
        <f t="shared" si="0"/>
        <v>700</v>
      </c>
      <c r="H46" s="5">
        <v>45325</v>
      </c>
    </row>
    <row r="47" spans="1:8" ht="30.75" thickBot="1">
      <c r="A47" s="2">
        <v>1045</v>
      </c>
      <c r="B47" s="2" t="s">
        <v>110</v>
      </c>
      <c r="C47" s="2" t="s">
        <v>31</v>
      </c>
      <c r="D47" s="2" t="s">
        <v>35</v>
      </c>
      <c r="E47" s="2">
        <v>20</v>
      </c>
      <c r="F47" s="2">
        <v>10</v>
      </c>
      <c r="G47" s="8">
        <f t="shared" si="0"/>
        <v>200</v>
      </c>
      <c r="H47" s="5">
        <v>45354</v>
      </c>
    </row>
    <row r="48" spans="1:8" ht="30.75" thickBot="1">
      <c r="A48" s="2">
        <v>1046</v>
      </c>
      <c r="B48" s="2" t="s">
        <v>111</v>
      </c>
      <c r="C48" s="2" t="s">
        <v>34</v>
      </c>
      <c r="D48" s="2" t="s">
        <v>38</v>
      </c>
      <c r="E48" s="2">
        <v>17</v>
      </c>
      <c r="F48" s="2">
        <v>25</v>
      </c>
      <c r="G48" s="8">
        <f t="shared" si="0"/>
        <v>425</v>
      </c>
      <c r="H48" s="5">
        <v>45385</v>
      </c>
    </row>
    <row r="49" spans="1:8" ht="30.75" thickBot="1">
      <c r="A49" s="2">
        <v>1047</v>
      </c>
      <c r="B49" s="2" t="s">
        <v>112</v>
      </c>
      <c r="C49" s="2" t="s">
        <v>37</v>
      </c>
      <c r="D49" s="2" t="s">
        <v>42</v>
      </c>
      <c r="E49" s="2">
        <v>19</v>
      </c>
      <c r="F49" s="2">
        <v>5</v>
      </c>
      <c r="G49" s="8">
        <f t="shared" si="0"/>
        <v>95</v>
      </c>
      <c r="H49" s="5">
        <v>45415</v>
      </c>
    </row>
    <row r="50" spans="1:8" ht="30.75" thickBot="1">
      <c r="A50" s="2">
        <v>1048</v>
      </c>
      <c r="B50" s="2" t="s">
        <v>113</v>
      </c>
      <c r="C50" s="2" t="s">
        <v>40</v>
      </c>
      <c r="D50" s="2" t="s">
        <v>46</v>
      </c>
      <c r="E50" s="2">
        <v>32</v>
      </c>
      <c r="F50" s="2">
        <v>8</v>
      </c>
      <c r="G50" s="8">
        <f t="shared" si="0"/>
        <v>256</v>
      </c>
      <c r="H50" s="5">
        <v>45446</v>
      </c>
    </row>
    <row r="51" spans="1:8" ht="30.75" thickBot="1">
      <c r="A51" s="2">
        <v>1049</v>
      </c>
      <c r="B51" s="2" t="s">
        <v>114</v>
      </c>
      <c r="C51" s="2" t="s">
        <v>31</v>
      </c>
      <c r="D51" s="2" t="s">
        <v>32</v>
      </c>
      <c r="E51" s="2">
        <v>12</v>
      </c>
      <c r="F51" s="2">
        <v>50</v>
      </c>
      <c r="G51" s="8">
        <f t="shared" si="0"/>
        <v>600</v>
      </c>
      <c r="H51" s="5">
        <v>45476</v>
      </c>
    </row>
    <row r="52" spans="1:8" ht="30.75" thickBot="1">
      <c r="A52" s="2">
        <v>1050</v>
      </c>
      <c r="B52" s="2" t="s">
        <v>115</v>
      </c>
      <c r="C52" s="2" t="s">
        <v>34</v>
      </c>
      <c r="D52" s="2" t="s">
        <v>35</v>
      </c>
      <c r="E52" s="2">
        <v>25</v>
      </c>
      <c r="F52" s="2">
        <v>10</v>
      </c>
      <c r="G52" s="8">
        <f t="shared" si="0"/>
        <v>250</v>
      </c>
      <c r="H52" s="5">
        <v>45507</v>
      </c>
    </row>
    <row r="53" spans="1:8">
      <c r="G53" t="s">
        <v>120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06026-2A72-47EB-A8C7-98BB2E7CACF4}">
  <dimension ref="A1:I52"/>
  <sheetViews>
    <sheetView topLeftCell="A40" workbookViewId="0">
      <selection activeCell="B17" sqref="B17"/>
    </sheetView>
  </sheetViews>
  <sheetFormatPr defaultRowHeight="15"/>
  <cols>
    <col min="6" max="6" width="8.140625" bestFit="1" customWidth="1"/>
    <col min="7" max="7" width="5.5703125" bestFit="1" customWidth="1"/>
    <col min="9" max="9" width="12" bestFit="1" customWidth="1"/>
  </cols>
  <sheetData>
    <row r="1" spans="1:9" ht="15.75" thickBot="1">
      <c r="A1" s="9" t="s">
        <v>121</v>
      </c>
      <c r="B1" s="9"/>
      <c r="C1" s="9"/>
      <c r="D1" s="9"/>
      <c r="E1" s="9"/>
      <c r="F1" s="9"/>
      <c r="G1" s="9"/>
      <c r="I1" s="11" t="s">
        <v>119</v>
      </c>
    </row>
    <row r="2" spans="1:9" ht="50.25" customHeight="1" thickBot="1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7" t="s">
        <v>118</v>
      </c>
      <c r="H2" s="3" t="s">
        <v>44</v>
      </c>
      <c r="I2" s="10" t="s">
        <v>122</v>
      </c>
    </row>
    <row r="3" spans="1:9" ht="30.75" thickBot="1">
      <c r="A3" s="2">
        <v>1001</v>
      </c>
      <c r="B3" s="2" t="s">
        <v>30</v>
      </c>
      <c r="C3" s="2" t="s">
        <v>31</v>
      </c>
      <c r="D3" s="2" t="s">
        <v>32</v>
      </c>
      <c r="E3" s="2">
        <v>10</v>
      </c>
      <c r="F3" s="2">
        <v>50</v>
      </c>
      <c r="G3" s="8">
        <f>PRODUCT(E3*F3)</f>
        <v>500</v>
      </c>
      <c r="H3" s="5">
        <v>45413</v>
      </c>
      <c r="I3" s="12">
        <f>SUMIFS(G3:G52,D3:D52,"Notebook",C3:C52,"North")</f>
        <v>2900</v>
      </c>
    </row>
    <row r="4" spans="1:9" ht="30.75" thickBot="1">
      <c r="A4" s="2">
        <v>1002</v>
      </c>
      <c r="B4" s="2" t="s">
        <v>33</v>
      </c>
      <c r="C4" s="2" t="s">
        <v>34</v>
      </c>
      <c r="D4" s="2" t="s">
        <v>35</v>
      </c>
      <c r="E4" s="2">
        <v>20</v>
      </c>
      <c r="F4" s="2">
        <v>10</v>
      </c>
      <c r="G4" s="8">
        <f t="shared" ref="G4:G52" si="0">PRODUCT(E4*F4)</f>
        <v>200</v>
      </c>
      <c r="H4" s="5">
        <v>45444</v>
      </c>
    </row>
    <row r="5" spans="1:9" ht="30.75" thickBot="1">
      <c r="A5" s="2">
        <v>1003</v>
      </c>
      <c r="B5" s="2" t="s">
        <v>36</v>
      </c>
      <c r="C5" s="2" t="s">
        <v>37</v>
      </c>
      <c r="D5" s="2" t="s">
        <v>38</v>
      </c>
      <c r="E5" s="2">
        <v>15</v>
      </c>
      <c r="F5" s="2">
        <v>25</v>
      </c>
      <c r="G5" s="8">
        <f t="shared" si="0"/>
        <v>375</v>
      </c>
      <c r="H5" s="5">
        <v>45474</v>
      </c>
    </row>
    <row r="6" spans="1:9" ht="30.75" thickBot="1">
      <c r="A6" s="2">
        <v>1004</v>
      </c>
      <c r="B6" s="2" t="s">
        <v>39</v>
      </c>
      <c r="C6" s="2" t="s">
        <v>40</v>
      </c>
      <c r="D6" s="2" t="s">
        <v>32</v>
      </c>
      <c r="E6" s="2">
        <v>5</v>
      </c>
      <c r="F6" s="2">
        <v>50</v>
      </c>
      <c r="G6" s="8">
        <f t="shared" si="0"/>
        <v>250</v>
      </c>
      <c r="H6" s="5">
        <v>45505</v>
      </c>
    </row>
    <row r="7" spans="1:9" ht="30.75" thickBot="1">
      <c r="A7" s="2">
        <v>1005</v>
      </c>
      <c r="B7" s="2" t="s">
        <v>41</v>
      </c>
      <c r="C7" s="2" t="s">
        <v>31</v>
      </c>
      <c r="D7" s="2" t="s">
        <v>42</v>
      </c>
      <c r="E7" s="2">
        <v>30</v>
      </c>
      <c r="F7" s="2">
        <v>5</v>
      </c>
      <c r="G7" s="8">
        <f t="shared" si="0"/>
        <v>150</v>
      </c>
      <c r="H7" s="5">
        <v>45566</v>
      </c>
    </row>
    <row r="8" spans="1:9" ht="30.75" thickBot="1">
      <c r="A8" s="2">
        <v>1006</v>
      </c>
      <c r="B8" s="2" t="s">
        <v>43</v>
      </c>
      <c r="C8" s="2" t="s">
        <v>34</v>
      </c>
      <c r="D8" s="2" t="s">
        <v>32</v>
      </c>
      <c r="E8" s="2">
        <v>12</v>
      </c>
      <c r="F8" s="2">
        <v>50</v>
      </c>
      <c r="G8" s="8">
        <f t="shared" si="0"/>
        <v>600</v>
      </c>
      <c r="H8" s="5">
        <v>45597</v>
      </c>
    </row>
    <row r="9" spans="1:9" ht="30.75" thickBot="1">
      <c r="A9" s="2">
        <v>1007</v>
      </c>
      <c r="B9" s="2" t="s">
        <v>45</v>
      </c>
      <c r="C9" s="2" t="s">
        <v>37</v>
      </c>
      <c r="D9" s="2" t="s">
        <v>46</v>
      </c>
      <c r="E9" s="2">
        <v>25</v>
      </c>
      <c r="F9" s="2">
        <v>8</v>
      </c>
      <c r="G9" s="8">
        <f t="shared" si="0"/>
        <v>200</v>
      </c>
      <c r="H9" s="2" t="s">
        <v>47</v>
      </c>
    </row>
    <row r="10" spans="1:9" ht="30.75" thickBot="1">
      <c r="A10" s="2">
        <v>1008</v>
      </c>
      <c r="B10" s="2" t="s">
        <v>48</v>
      </c>
      <c r="C10" s="2" t="s">
        <v>40</v>
      </c>
      <c r="D10" s="2" t="s">
        <v>35</v>
      </c>
      <c r="E10" s="2">
        <v>18</v>
      </c>
      <c r="F10" s="2">
        <v>10</v>
      </c>
      <c r="G10" s="8">
        <f t="shared" si="0"/>
        <v>180</v>
      </c>
      <c r="H10" s="2" t="s">
        <v>49</v>
      </c>
    </row>
    <row r="11" spans="1:9" ht="30.75" thickBot="1">
      <c r="A11" s="2">
        <v>1009</v>
      </c>
      <c r="B11" s="2" t="s">
        <v>50</v>
      </c>
      <c r="C11" s="2" t="s">
        <v>31</v>
      </c>
      <c r="D11" s="2" t="s">
        <v>38</v>
      </c>
      <c r="E11" s="2">
        <v>22</v>
      </c>
      <c r="F11" s="2">
        <v>25</v>
      </c>
      <c r="G11" s="8">
        <f t="shared" si="0"/>
        <v>550</v>
      </c>
      <c r="H11" s="2" t="s">
        <v>51</v>
      </c>
    </row>
    <row r="12" spans="1:9" ht="30.75" thickBot="1">
      <c r="A12" s="2">
        <v>1010</v>
      </c>
      <c r="B12" s="2" t="s">
        <v>52</v>
      </c>
      <c r="C12" s="2" t="s">
        <v>34</v>
      </c>
      <c r="D12" s="2" t="s">
        <v>32</v>
      </c>
      <c r="E12" s="2">
        <v>8</v>
      </c>
      <c r="F12" s="2">
        <v>50</v>
      </c>
      <c r="G12" s="8">
        <f t="shared" si="0"/>
        <v>400</v>
      </c>
      <c r="H12" s="2" t="s">
        <v>53</v>
      </c>
    </row>
    <row r="13" spans="1:9" ht="30.75" thickBot="1">
      <c r="A13" s="2">
        <v>1011</v>
      </c>
      <c r="B13" s="2" t="s">
        <v>54</v>
      </c>
      <c r="C13" s="2" t="s">
        <v>37</v>
      </c>
      <c r="D13" s="2" t="s">
        <v>42</v>
      </c>
      <c r="E13" s="2">
        <v>40</v>
      </c>
      <c r="F13" s="2">
        <v>5</v>
      </c>
      <c r="G13" s="8">
        <f t="shared" si="0"/>
        <v>200</v>
      </c>
      <c r="H13" s="2" t="s">
        <v>55</v>
      </c>
    </row>
    <row r="14" spans="1:9" ht="30.75" thickBot="1">
      <c r="A14" s="2">
        <v>1012</v>
      </c>
      <c r="B14" s="2" t="s">
        <v>56</v>
      </c>
      <c r="C14" s="2" t="s">
        <v>40</v>
      </c>
      <c r="D14" s="2" t="s">
        <v>46</v>
      </c>
      <c r="E14" s="2">
        <v>35</v>
      </c>
      <c r="F14" s="2">
        <v>8</v>
      </c>
      <c r="G14" s="8">
        <f t="shared" si="0"/>
        <v>280</v>
      </c>
      <c r="H14" s="2" t="s">
        <v>57</v>
      </c>
    </row>
    <row r="15" spans="1:9" ht="30.75" thickBot="1">
      <c r="A15" s="2">
        <v>1013</v>
      </c>
      <c r="B15" s="2" t="s">
        <v>58</v>
      </c>
      <c r="C15" s="2" t="s">
        <v>31</v>
      </c>
      <c r="D15" s="2" t="s">
        <v>32</v>
      </c>
      <c r="E15" s="2">
        <v>14</v>
      </c>
      <c r="F15" s="2">
        <v>50</v>
      </c>
      <c r="G15" s="8">
        <f t="shared" si="0"/>
        <v>700</v>
      </c>
      <c r="H15" s="2" t="s">
        <v>59</v>
      </c>
    </row>
    <row r="16" spans="1:9" ht="30.75" thickBot="1">
      <c r="A16" s="2">
        <v>1014</v>
      </c>
      <c r="B16" s="2" t="s">
        <v>60</v>
      </c>
      <c r="C16" s="2" t="s">
        <v>34</v>
      </c>
      <c r="D16" s="2" t="s">
        <v>35</v>
      </c>
      <c r="E16" s="2">
        <v>28</v>
      </c>
      <c r="F16" s="2">
        <v>10</v>
      </c>
      <c r="G16" s="8">
        <f t="shared" si="0"/>
        <v>280</v>
      </c>
      <c r="H16" s="2" t="s">
        <v>61</v>
      </c>
    </row>
    <row r="17" spans="1:8" ht="30.75" thickBot="1">
      <c r="A17" s="2">
        <v>1015</v>
      </c>
      <c r="B17" s="2" t="s">
        <v>62</v>
      </c>
      <c r="C17" s="2" t="s">
        <v>37</v>
      </c>
      <c r="D17" s="2" t="s">
        <v>38</v>
      </c>
      <c r="E17" s="2">
        <v>12</v>
      </c>
      <c r="F17" s="2">
        <v>25</v>
      </c>
      <c r="G17" s="8">
        <f t="shared" si="0"/>
        <v>300</v>
      </c>
      <c r="H17" s="2" t="s">
        <v>63</v>
      </c>
    </row>
    <row r="18" spans="1:8" ht="30.75" thickBot="1">
      <c r="A18" s="2">
        <v>1016</v>
      </c>
      <c r="B18" s="2" t="s">
        <v>64</v>
      </c>
      <c r="C18" s="2" t="s">
        <v>40</v>
      </c>
      <c r="D18" s="2" t="s">
        <v>42</v>
      </c>
      <c r="E18" s="2">
        <v>25</v>
      </c>
      <c r="F18" s="2">
        <v>5</v>
      </c>
      <c r="G18" s="8">
        <f t="shared" si="0"/>
        <v>125</v>
      </c>
      <c r="H18" s="2" t="s">
        <v>65</v>
      </c>
    </row>
    <row r="19" spans="1:8" ht="30.75" thickBot="1">
      <c r="A19" s="2">
        <v>1017</v>
      </c>
      <c r="B19" s="2" t="s">
        <v>66</v>
      </c>
      <c r="C19" s="2" t="s">
        <v>31</v>
      </c>
      <c r="D19" s="2" t="s">
        <v>46</v>
      </c>
      <c r="E19" s="2">
        <v>20</v>
      </c>
      <c r="F19" s="2">
        <v>8</v>
      </c>
      <c r="G19" s="8">
        <f t="shared" si="0"/>
        <v>160</v>
      </c>
      <c r="H19" s="2" t="s">
        <v>67</v>
      </c>
    </row>
    <row r="20" spans="1:8" ht="30.75" thickBot="1">
      <c r="A20" s="2">
        <v>1018</v>
      </c>
      <c r="B20" s="2" t="s">
        <v>68</v>
      </c>
      <c r="C20" s="2" t="s">
        <v>34</v>
      </c>
      <c r="D20" s="2" t="s">
        <v>32</v>
      </c>
      <c r="E20" s="2">
        <v>10</v>
      </c>
      <c r="F20" s="2">
        <v>50</v>
      </c>
      <c r="G20" s="8">
        <f t="shared" si="0"/>
        <v>500</v>
      </c>
      <c r="H20" s="2" t="s">
        <v>69</v>
      </c>
    </row>
    <row r="21" spans="1:8" ht="30.75" thickBot="1">
      <c r="A21" s="2">
        <v>1019</v>
      </c>
      <c r="B21" s="2" t="s">
        <v>70</v>
      </c>
      <c r="C21" s="2" t="s">
        <v>37</v>
      </c>
      <c r="D21" s="2" t="s">
        <v>35</v>
      </c>
      <c r="E21" s="2">
        <v>15</v>
      </c>
      <c r="F21" s="2">
        <v>10</v>
      </c>
      <c r="G21" s="8">
        <f t="shared" si="0"/>
        <v>150</v>
      </c>
      <c r="H21" s="2" t="s">
        <v>71</v>
      </c>
    </row>
    <row r="22" spans="1:8" ht="30.75" thickBot="1">
      <c r="A22" s="2">
        <v>1020</v>
      </c>
      <c r="B22" s="2" t="s">
        <v>72</v>
      </c>
      <c r="C22" s="2" t="s">
        <v>40</v>
      </c>
      <c r="D22" s="2" t="s">
        <v>38</v>
      </c>
      <c r="E22" s="2">
        <v>18</v>
      </c>
      <c r="F22" s="2">
        <v>25</v>
      </c>
      <c r="G22" s="8">
        <f t="shared" si="0"/>
        <v>450</v>
      </c>
      <c r="H22" s="5">
        <v>45293</v>
      </c>
    </row>
    <row r="23" spans="1:8" ht="30.75" thickBot="1">
      <c r="A23" s="2">
        <v>1021</v>
      </c>
      <c r="B23" s="2" t="s">
        <v>73</v>
      </c>
      <c r="C23" s="2" t="s">
        <v>31</v>
      </c>
      <c r="D23" s="2" t="s">
        <v>32</v>
      </c>
      <c r="E23" s="2">
        <v>9</v>
      </c>
      <c r="F23" s="2">
        <v>50</v>
      </c>
      <c r="G23" s="8">
        <f t="shared" si="0"/>
        <v>450</v>
      </c>
      <c r="H23" s="5">
        <v>45324</v>
      </c>
    </row>
    <row r="24" spans="1:8" ht="30.75" thickBot="1">
      <c r="A24" s="2">
        <v>1022</v>
      </c>
      <c r="B24" s="2" t="s">
        <v>74</v>
      </c>
      <c r="C24" s="2" t="s">
        <v>34</v>
      </c>
      <c r="D24" s="2" t="s">
        <v>42</v>
      </c>
      <c r="E24" s="2">
        <v>35</v>
      </c>
      <c r="F24" s="2">
        <v>5</v>
      </c>
      <c r="G24" s="8">
        <f t="shared" si="0"/>
        <v>175</v>
      </c>
      <c r="H24" s="5">
        <v>45353</v>
      </c>
    </row>
    <row r="25" spans="1:8" ht="30.75" thickBot="1">
      <c r="A25" s="2">
        <v>1023</v>
      </c>
      <c r="B25" s="2" t="s">
        <v>75</v>
      </c>
      <c r="C25" s="2" t="s">
        <v>37</v>
      </c>
      <c r="D25" s="2" t="s">
        <v>46</v>
      </c>
      <c r="E25" s="2">
        <v>30</v>
      </c>
      <c r="F25" s="2">
        <v>8</v>
      </c>
      <c r="G25" s="8">
        <f t="shared" si="0"/>
        <v>240</v>
      </c>
      <c r="H25" s="5">
        <v>45384</v>
      </c>
    </row>
    <row r="26" spans="1:8" ht="30.75" thickBot="1">
      <c r="A26" s="2">
        <v>1024</v>
      </c>
      <c r="B26" s="2" t="s">
        <v>76</v>
      </c>
      <c r="C26" s="2" t="s">
        <v>40</v>
      </c>
      <c r="D26" s="2" t="s">
        <v>32</v>
      </c>
      <c r="E26" s="2">
        <v>11</v>
      </c>
      <c r="F26" s="2">
        <v>50</v>
      </c>
      <c r="G26" s="8">
        <f t="shared" si="0"/>
        <v>550</v>
      </c>
      <c r="H26" s="5">
        <v>45445</v>
      </c>
    </row>
    <row r="27" spans="1:8" ht="30.75" thickBot="1">
      <c r="A27" s="2">
        <v>1025</v>
      </c>
      <c r="B27" s="2" t="s">
        <v>77</v>
      </c>
      <c r="C27" s="2" t="s">
        <v>31</v>
      </c>
      <c r="D27" s="2" t="s">
        <v>35</v>
      </c>
      <c r="E27" s="2">
        <v>14</v>
      </c>
      <c r="F27" s="2">
        <v>10</v>
      </c>
      <c r="G27" s="8">
        <f t="shared" si="0"/>
        <v>140</v>
      </c>
      <c r="H27" s="5">
        <v>45475</v>
      </c>
    </row>
    <row r="28" spans="1:8" ht="30.75" thickBot="1">
      <c r="A28" s="2">
        <v>1026</v>
      </c>
      <c r="B28" s="2" t="s">
        <v>78</v>
      </c>
      <c r="C28" s="2" t="s">
        <v>34</v>
      </c>
      <c r="D28" s="2" t="s">
        <v>38</v>
      </c>
      <c r="E28" s="2">
        <v>16</v>
      </c>
      <c r="F28" s="2">
        <v>25</v>
      </c>
      <c r="G28" s="8">
        <f t="shared" si="0"/>
        <v>400</v>
      </c>
      <c r="H28" s="5">
        <v>45506</v>
      </c>
    </row>
    <row r="29" spans="1:8" ht="30.75" thickBot="1">
      <c r="A29" s="2">
        <v>1027</v>
      </c>
      <c r="B29" s="2" t="s">
        <v>79</v>
      </c>
      <c r="C29" s="2" t="s">
        <v>37</v>
      </c>
      <c r="D29" s="2" t="s">
        <v>42</v>
      </c>
      <c r="E29" s="2">
        <v>22</v>
      </c>
      <c r="F29" s="2">
        <v>5</v>
      </c>
      <c r="G29" s="8">
        <f t="shared" si="0"/>
        <v>110</v>
      </c>
      <c r="H29" s="5">
        <v>45537</v>
      </c>
    </row>
    <row r="30" spans="1:8" ht="30.75" thickBot="1">
      <c r="A30" s="2">
        <v>1028</v>
      </c>
      <c r="B30" s="2" t="s">
        <v>80</v>
      </c>
      <c r="C30" s="2" t="s">
        <v>40</v>
      </c>
      <c r="D30" s="2" t="s">
        <v>46</v>
      </c>
      <c r="E30" s="2">
        <v>27</v>
      </c>
      <c r="F30" s="2">
        <v>8</v>
      </c>
      <c r="G30" s="8">
        <f t="shared" si="0"/>
        <v>216</v>
      </c>
      <c r="H30" s="5">
        <v>45567</v>
      </c>
    </row>
    <row r="31" spans="1:8" ht="30.75" thickBot="1">
      <c r="A31" s="2">
        <v>1029</v>
      </c>
      <c r="B31" s="2" t="s">
        <v>81</v>
      </c>
      <c r="C31" s="2" t="s">
        <v>31</v>
      </c>
      <c r="D31" s="2" t="s">
        <v>32</v>
      </c>
      <c r="E31" s="2">
        <v>13</v>
      </c>
      <c r="F31" s="2">
        <v>50</v>
      </c>
      <c r="G31" s="8">
        <f t="shared" si="0"/>
        <v>650</v>
      </c>
      <c r="H31" s="5">
        <v>45628</v>
      </c>
    </row>
    <row r="32" spans="1:8" ht="30.75" thickBot="1">
      <c r="A32" s="2">
        <v>1030</v>
      </c>
      <c r="B32" s="2" t="s">
        <v>82</v>
      </c>
      <c r="C32" s="2" t="s">
        <v>34</v>
      </c>
      <c r="D32" s="2" t="s">
        <v>35</v>
      </c>
      <c r="E32" s="2">
        <v>32</v>
      </c>
      <c r="F32" s="2">
        <v>10</v>
      </c>
      <c r="G32" s="8">
        <f t="shared" si="0"/>
        <v>320</v>
      </c>
      <c r="H32" s="2" t="s">
        <v>83</v>
      </c>
    </row>
    <row r="33" spans="1:8" ht="30.75" thickBot="1">
      <c r="A33" s="2">
        <v>1031</v>
      </c>
      <c r="B33" s="2" t="s">
        <v>84</v>
      </c>
      <c r="C33" s="2" t="s">
        <v>37</v>
      </c>
      <c r="D33" s="2" t="s">
        <v>38</v>
      </c>
      <c r="E33" s="2">
        <v>10</v>
      </c>
      <c r="F33" s="2">
        <v>25</v>
      </c>
      <c r="G33" s="8">
        <f t="shared" si="0"/>
        <v>250</v>
      </c>
      <c r="H33" s="2" t="s">
        <v>85</v>
      </c>
    </row>
    <row r="34" spans="1:8" ht="30.75" thickBot="1">
      <c r="A34" s="2">
        <v>1032</v>
      </c>
      <c r="B34" s="2" t="s">
        <v>86</v>
      </c>
      <c r="C34" s="2" t="s">
        <v>40</v>
      </c>
      <c r="D34" s="2" t="s">
        <v>42</v>
      </c>
      <c r="E34" s="2">
        <v>18</v>
      </c>
      <c r="F34" s="2">
        <v>5</v>
      </c>
      <c r="G34" s="8">
        <f t="shared" si="0"/>
        <v>90</v>
      </c>
      <c r="H34" s="2" t="s">
        <v>87</v>
      </c>
    </row>
    <row r="35" spans="1:8" ht="30.75" thickBot="1">
      <c r="A35" s="2">
        <v>1033</v>
      </c>
      <c r="B35" s="2" t="s">
        <v>88</v>
      </c>
      <c r="C35" s="2" t="s">
        <v>31</v>
      </c>
      <c r="D35" s="2" t="s">
        <v>46</v>
      </c>
      <c r="E35" s="2">
        <v>22</v>
      </c>
      <c r="F35" s="2">
        <v>8</v>
      </c>
      <c r="G35" s="8">
        <f t="shared" si="0"/>
        <v>176</v>
      </c>
      <c r="H35" s="2" t="s">
        <v>89</v>
      </c>
    </row>
    <row r="36" spans="1:8" ht="30.75" thickBot="1">
      <c r="A36" s="2">
        <v>1034</v>
      </c>
      <c r="B36" s="2" t="s">
        <v>90</v>
      </c>
      <c r="C36" s="2" t="s">
        <v>34</v>
      </c>
      <c r="D36" s="2" t="s">
        <v>32</v>
      </c>
      <c r="E36" s="2">
        <v>17</v>
      </c>
      <c r="F36" s="2">
        <v>50</v>
      </c>
      <c r="G36" s="8">
        <f t="shared" si="0"/>
        <v>850</v>
      </c>
      <c r="H36" s="2" t="s">
        <v>91</v>
      </c>
    </row>
    <row r="37" spans="1:8" ht="30.75" thickBot="1">
      <c r="A37" s="2">
        <v>1035</v>
      </c>
      <c r="B37" s="2" t="s">
        <v>92</v>
      </c>
      <c r="C37" s="2" t="s">
        <v>37</v>
      </c>
      <c r="D37" s="2" t="s">
        <v>35</v>
      </c>
      <c r="E37" s="2">
        <v>19</v>
      </c>
      <c r="F37" s="2">
        <v>10</v>
      </c>
      <c r="G37" s="8">
        <f t="shared" si="0"/>
        <v>190</v>
      </c>
      <c r="H37" s="2" t="s">
        <v>93</v>
      </c>
    </row>
    <row r="38" spans="1:8" ht="30.75" thickBot="1">
      <c r="A38" s="2">
        <v>1036</v>
      </c>
      <c r="B38" s="2" t="s">
        <v>94</v>
      </c>
      <c r="C38" s="2" t="s">
        <v>40</v>
      </c>
      <c r="D38" s="2" t="s">
        <v>38</v>
      </c>
      <c r="E38" s="2">
        <v>15</v>
      </c>
      <c r="F38" s="2">
        <v>25</v>
      </c>
      <c r="G38" s="8">
        <f t="shared" si="0"/>
        <v>375</v>
      </c>
      <c r="H38" s="2" t="s">
        <v>95</v>
      </c>
    </row>
    <row r="39" spans="1:8" ht="30.75" thickBot="1">
      <c r="A39" s="2">
        <v>1037</v>
      </c>
      <c r="B39" s="2" t="s">
        <v>96</v>
      </c>
      <c r="C39" s="2" t="s">
        <v>31</v>
      </c>
      <c r="D39" s="2" t="s">
        <v>42</v>
      </c>
      <c r="E39" s="2">
        <v>28</v>
      </c>
      <c r="F39" s="2">
        <v>5</v>
      </c>
      <c r="G39" s="8">
        <f t="shared" si="0"/>
        <v>140</v>
      </c>
      <c r="H39" s="2" t="s">
        <v>97</v>
      </c>
    </row>
    <row r="40" spans="1:8" ht="30.75" thickBot="1">
      <c r="A40" s="2">
        <v>1038</v>
      </c>
      <c r="B40" s="2" t="s">
        <v>98</v>
      </c>
      <c r="C40" s="2" t="s">
        <v>34</v>
      </c>
      <c r="D40" s="2" t="s">
        <v>46</v>
      </c>
      <c r="E40" s="2">
        <v>24</v>
      </c>
      <c r="F40" s="2">
        <v>8</v>
      </c>
      <c r="G40" s="8">
        <f t="shared" si="0"/>
        <v>192</v>
      </c>
      <c r="H40" s="2" t="s">
        <v>99</v>
      </c>
    </row>
    <row r="41" spans="1:8" ht="30.75" thickBot="1">
      <c r="A41" s="2">
        <v>1039</v>
      </c>
      <c r="B41" s="2" t="s">
        <v>100</v>
      </c>
      <c r="C41" s="2" t="s">
        <v>37</v>
      </c>
      <c r="D41" s="2" t="s">
        <v>32</v>
      </c>
      <c r="E41" s="2">
        <v>16</v>
      </c>
      <c r="F41" s="2">
        <v>50</v>
      </c>
      <c r="G41" s="8">
        <f t="shared" si="0"/>
        <v>800</v>
      </c>
      <c r="H41" s="2" t="s">
        <v>101</v>
      </c>
    </row>
    <row r="42" spans="1:8" ht="30.75" thickBot="1">
      <c r="A42" s="2">
        <v>1040</v>
      </c>
      <c r="B42" s="2" t="s">
        <v>102</v>
      </c>
      <c r="C42" s="2" t="s">
        <v>40</v>
      </c>
      <c r="D42" s="2" t="s">
        <v>35</v>
      </c>
      <c r="E42" s="2">
        <v>27</v>
      </c>
      <c r="F42" s="2">
        <v>10</v>
      </c>
      <c r="G42" s="8">
        <f t="shared" si="0"/>
        <v>270</v>
      </c>
      <c r="H42" s="2" t="s">
        <v>103</v>
      </c>
    </row>
    <row r="43" spans="1:8" ht="30.75" thickBot="1">
      <c r="A43" s="2">
        <v>1041</v>
      </c>
      <c r="B43" s="2" t="s">
        <v>104</v>
      </c>
      <c r="C43" s="2" t="s">
        <v>31</v>
      </c>
      <c r="D43" s="2" t="s">
        <v>38</v>
      </c>
      <c r="E43" s="2">
        <v>21</v>
      </c>
      <c r="F43" s="2">
        <v>25</v>
      </c>
      <c r="G43" s="8">
        <f t="shared" si="0"/>
        <v>525</v>
      </c>
      <c r="H43" s="2" t="s">
        <v>105</v>
      </c>
    </row>
    <row r="44" spans="1:8" ht="30.75" thickBot="1">
      <c r="A44" s="2">
        <v>1042</v>
      </c>
      <c r="B44" s="2" t="s">
        <v>106</v>
      </c>
      <c r="C44" s="2" t="s">
        <v>34</v>
      </c>
      <c r="D44" s="2" t="s">
        <v>42</v>
      </c>
      <c r="E44" s="2">
        <v>30</v>
      </c>
      <c r="F44" s="2">
        <v>5</v>
      </c>
      <c r="G44" s="8">
        <f t="shared" si="0"/>
        <v>150</v>
      </c>
      <c r="H44" s="2" t="s">
        <v>107</v>
      </c>
    </row>
    <row r="45" spans="1:8" ht="30.75" thickBot="1">
      <c r="A45" s="2">
        <v>1043</v>
      </c>
      <c r="B45" s="2" t="s">
        <v>108</v>
      </c>
      <c r="C45" s="2" t="s">
        <v>37</v>
      </c>
      <c r="D45" s="2" t="s">
        <v>46</v>
      </c>
      <c r="E45" s="2">
        <v>26</v>
      </c>
      <c r="F45" s="2">
        <v>8</v>
      </c>
      <c r="G45" s="8">
        <f t="shared" si="0"/>
        <v>208</v>
      </c>
      <c r="H45" s="5">
        <v>45294</v>
      </c>
    </row>
    <row r="46" spans="1:8" ht="30.75" thickBot="1">
      <c r="A46" s="2">
        <v>1044</v>
      </c>
      <c r="B46" s="2" t="s">
        <v>109</v>
      </c>
      <c r="C46" s="2" t="s">
        <v>40</v>
      </c>
      <c r="D46" s="2" t="s">
        <v>32</v>
      </c>
      <c r="E46" s="2">
        <v>14</v>
      </c>
      <c r="F46" s="2">
        <v>50</v>
      </c>
      <c r="G46" s="8">
        <f t="shared" si="0"/>
        <v>700</v>
      </c>
      <c r="H46" s="5">
        <v>45325</v>
      </c>
    </row>
    <row r="47" spans="1:8" ht="30.75" thickBot="1">
      <c r="A47" s="2">
        <v>1045</v>
      </c>
      <c r="B47" s="2" t="s">
        <v>110</v>
      </c>
      <c r="C47" s="2" t="s">
        <v>31</v>
      </c>
      <c r="D47" s="2" t="s">
        <v>35</v>
      </c>
      <c r="E47" s="2">
        <v>20</v>
      </c>
      <c r="F47" s="2">
        <v>10</v>
      </c>
      <c r="G47" s="8">
        <f t="shared" si="0"/>
        <v>200</v>
      </c>
      <c r="H47" s="5">
        <v>45354</v>
      </c>
    </row>
    <row r="48" spans="1:8" ht="30.75" thickBot="1">
      <c r="A48" s="2">
        <v>1046</v>
      </c>
      <c r="B48" s="2" t="s">
        <v>111</v>
      </c>
      <c r="C48" s="2" t="s">
        <v>34</v>
      </c>
      <c r="D48" s="2" t="s">
        <v>38</v>
      </c>
      <c r="E48" s="2">
        <v>17</v>
      </c>
      <c r="F48" s="2">
        <v>25</v>
      </c>
      <c r="G48" s="8">
        <f t="shared" si="0"/>
        <v>425</v>
      </c>
      <c r="H48" s="5">
        <v>45385</v>
      </c>
    </row>
    <row r="49" spans="1:8" ht="30.75" thickBot="1">
      <c r="A49" s="2">
        <v>1047</v>
      </c>
      <c r="B49" s="2" t="s">
        <v>112</v>
      </c>
      <c r="C49" s="2" t="s">
        <v>37</v>
      </c>
      <c r="D49" s="2" t="s">
        <v>42</v>
      </c>
      <c r="E49" s="2">
        <v>19</v>
      </c>
      <c r="F49" s="2">
        <v>5</v>
      </c>
      <c r="G49" s="8">
        <f t="shared" si="0"/>
        <v>95</v>
      </c>
      <c r="H49" s="5">
        <v>45415</v>
      </c>
    </row>
    <row r="50" spans="1:8" ht="30.75" thickBot="1">
      <c r="A50" s="2">
        <v>1048</v>
      </c>
      <c r="B50" s="2" t="s">
        <v>113</v>
      </c>
      <c r="C50" s="2" t="s">
        <v>40</v>
      </c>
      <c r="D50" s="2" t="s">
        <v>46</v>
      </c>
      <c r="E50" s="2">
        <v>32</v>
      </c>
      <c r="F50" s="2">
        <v>8</v>
      </c>
      <c r="G50" s="8">
        <f t="shared" si="0"/>
        <v>256</v>
      </c>
      <c r="H50" s="5">
        <v>45446</v>
      </c>
    </row>
    <row r="51" spans="1:8" ht="30.75" thickBot="1">
      <c r="A51" s="2">
        <v>1049</v>
      </c>
      <c r="B51" s="2" t="s">
        <v>114</v>
      </c>
      <c r="C51" s="2" t="s">
        <v>31</v>
      </c>
      <c r="D51" s="2" t="s">
        <v>32</v>
      </c>
      <c r="E51" s="2">
        <v>12</v>
      </c>
      <c r="F51" s="2">
        <v>50</v>
      </c>
      <c r="G51" s="8">
        <f t="shared" si="0"/>
        <v>600</v>
      </c>
      <c r="H51" s="5">
        <v>45476</v>
      </c>
    </row>
    <row r="52" spans="1:8" ht="30.75" thickBot="1">
      <c r="A52" s="2">
        <v>1050</v>
      </c>
      <c r="B52" s="2" t="s">
        <v>115</v>
      </c>
      <c r="C52" s="2" t="s">
        <v>34</v>
      </c>
      <c r="D52" s="2" t="s">
        <v>35</v>
      </c>
      <c r="E52" s="2">
        <v>25</v>
      </c>
      <c r="F52" s="2">
        <v>10</v>
      </c>
      <c r="G52" s="8">
        <f t="shared" si="0"/>
        <v>250</v>
      </c>
      <c r="H52" s="5">
        <v>45507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1105-45CD-4709-A261-CE46869B0910}">
  <dimension ref="A1:J52"/>
  <sheetViews>
    <sheetView workbookViewId="0">
      <selection activeCell="B17" sqref="B17"/>
    </sheetView>
  </sheetViews>
  <sheetFormatPr defaultRowHeight="15"/>
  <cols>
    <col min="3" max="3" width="7.140625" bestFit="1" customWidth="1"/>
    <col min="4" max="4" width="8.85546875" bestFit="1" customWidth="1"/>
    <col min="5" max="5" width="8.7109375" bestFit="1" customWidth="1"/>
    <col min="7" max="7" width="5.5703125" bestFit="1" customWidth="1"/>
    <col min="8" max="8" width="9.7109375" bestFit="1" customWidth="1"/>
  </cols>
  <sheetData>
    <row r="1" spans="1:10" ht="19.5" thickBot="1">
      <c r="A1" s="13" t="s">
        <v>123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0.75" thickBot="1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7" t="s">
        <v>118</v>
      </c>
      <c r="H2" s="3" t="s">
        <v>44</v>
      </c>
    </row>
    <row r="3" spans="1:10" ht="30.75" thickBot="1">
      <c r="A3" s="2">
        <v>1001</v>
      </c>
      <c r="B3" s="2" t="s">
        <v>30</v>
      </c>
      <c r="C3" s="2" t="s">
        <v>31</v>
      </c>
      <c r="D3" s="2" t="s">
        <v>32</v>
      </c>
      <c r="E3" s="2">
        <v>10</v>
      </c>
      <c r="F3" s="2">
        <v>50</v>
      </c>
      <c r="G3" s="8">
        <f>PRODUCT(E3*F3)</f>
        <v>500</v>
      </c>
      <c r="H3" s="5">
        <v>45413</v>
      </c>
    </row>
    <row r="4" spans="1:10" ht="30.75" thickBot="1">
      <c r="A4" s="2">
        <v>1002</v>
      </c>
      <c r="B4" s="2" t="s">
        <v>33</v>
      </c>
      <c r="C4" s="2" t="s">
        <v>34</v>
      </c>
      <c r="D4" s="2" t="s">
        <v>35</v>
      </c>
      <c r="E4" s="2">
        <v>20</v>
      </c>
      <c r="F4" s="2">
        <v>10</v>
      </c>
      <c r="G4" s="8">
        <f t="shared" ref="G4:G52" si="0">PRODUCT(E4*F4)</f>
        <v>200</v>
      </c>
      <c r="H4" s="5">
        <v>45444</v>
      </c>
    </row>
    <row r="5" spans="1:10" ht="30.75" thickBot="1">
      <c r="A5" s="2">
        <v>1003</v>
      </c>
      <c r="B5" s="2" t="s">
        <v>36</v>
      </c>
      <c r="C5" s="2" t="s">
        <v>37</v>
      </c>
      <c r="D5" s="2" t="s">
        <v>38</v>
      </c>
      <c r="E5" s="2">
        <v>15</v>
      </c>
      <c r="F5" s="2">
        <v>25</v>
      </c>
      <c r="G5" s="8">
        <f t="shared" si="0"/>
        <v>375</v>
      </c>
      <c r="H5" s="5">
        <v>45474</v>
      </c>
    </row>
    <row r="6" spans="1:10" ht="30.75" thickBot="1">
      <c r="A6" s="2">
        <v>1004</v>
      </c>
      <c r="B6" s="2" t="s">
        <v>39</v>
      </c>
      <c r="C6" s="2" t="s">
        <v>40</v>
      </c>
      <c r="D6" s="2" t="s">
        <v>32</v>
      </c>
      <c r="E6" s="2">
        <v>5</v>
      </c>
      <c r="F6" s="2">
        <v>50</v>
      </c>
      <c r="G6" s="8">
        <f t="shared" si="0"/>
        <v>250</v>
      </c>
      <c r="H6" s="5">
        <v>45505</v>
      </c>
    </row>
    <row r="7" spans="1:10" ht="30.75" thickBot="1">
      <c r="A7" s="2">
        <v>1005</v>
      </c>
      <c r="B7" s="2" t="s">
        <v>41</v>
      </c>
      <c r="C7" s="2" t="s">
        <v>31</v>
      </c>
      <c r="D7" s="2" t="s">
        <v>42</v>
      </c>
      <c r="E7" s="2">
        <v>30</v>
      </c>
      <c r="F7" s="2">
        <v>5</v>
      </c>
      <c r="G7" s="8">
        <f t="shared" si="0"/>
        <v>150</v>
      </c>
      <c r="H7" s="5">
        <v>45566</v>
      </c>
    </row>
    <row r="8" spans="1:10" ht="30.75" thickBot="1">
      <c r="A8" s="2">
        <v>1006</v>
      </c>
      <c r="B8" s="2" t="s">
        <v>43</v>
      </c>
      <c r="C8" s="2" t="s">
        <v>34</v>
      </c>
      <c r="D8" s="2" t="s">
        <v>32</v>
      </c>
      <c r="E8" s="2">
        <v>12</v>
      </c>
      <c r="F8" s="2">
        <v>50</v>
      </c>
      <c r="G8" s="8">
        <f t="shared" si="0"/>
        <v>600</v>
      </c>
      <c r="H8" s="5">
        <v>45597</v>
      </c>
    </row>
    <row r="9" spans="1:10" ht="30.75" thickBot="1">
      <c r="A9" s="2">
        <v>1007</v>
      </c>
      <c r="B9" s="2" t="s">
        <v>45</v>
      </c>
      <c r="C9" s="2" t="s">
        <v>37</v>
      </c>
      <c r="D9" s="2" t="s">
        <v>46</v>
      </c>
      <c r="E9" s="2">
        <v>25</v>
      </c>
      <c r="F9" s="2">
        <v>8</v>
      </c>
      <c r="G9" s="8">
        <f t="shared" si="0"/>
        <v>200</v>
      </c>
      <c r="H9" s="2" t="s">
        <v>47</v>
      </c>
    </row>
    <row r="10" spans="1:10" ht="30.75" thickBot="1">
      <c r="A10" s="2">
        <v>1008</v>
      </c>
      <c r="B10" s="2" t="s">
        <v>48</v>
      </c>
      <c r="C10" s="2" t="s">
        <v>40</v>
      </c>
      <c r="D10" s="2" t="s">
        <v>35</v>
      </c>
      <c r="E10" s="2">
        <v>18</v>
      </c>
      <c r="F10" s="2">
        <v>10</v>
      </c>
      <c r="G10" s="8">
        <f t="shared" si="0"/>
        <v>180</v>
      </c>
      <c r="H10" s="2" t="s">
        <v>49</v>
      </c>
    </row>
    <row r="11" spans="1:10" ht="30.75" thickBot="1">
      <c r="A11" s="2">
        <v>1009</v>
      </c>
      <c r="B11" s="2" t="s">
        <v>50</v>
      </c>
      <c r="C11" s="2" t="s">
        <v>31</v>
      </c>
      <c r="D11" s="2" t="s">
        <v>38</v>
      </c>
      <c r="E11" s="2">
        <v>22</v>
      </c>
      <c r="F11" s="2">
        <v>25</v>
      </c>
      <c r="G11" s="8">
        <f t="shared" si="0"/>
        <v>550</v>
      </c>
      <c r="H11" s="2" t="s">
        <v>51</v>
      </c>
    </row>
    <row r="12" spans="1:10" ht="30.75" thickBot="1">
      <c r="A12" s="2">
        <v>1010</v>
      </c>
      <c r="B12" s="2" t="s">
        <v>52</v>
      </c>
      <c r="C12" s="2" t="s">
        <v>34</v>
      </c>
      <c r="D12" s="2" t="s">
        <v>32</v>
      </c>
      <c r="E12" s="2">
        <v>8</v>
      </c>
      <c r="F12" s="2">
        <v>50</v>
      </c>
      <c r="G12" s="8">
        <f t="shared" si="0"/>
        <v>400</v>
      </c>
      <c r="H12" s="2" t="s">
        <v>53</v>
      </c>
    </row>
    <row r="13" spans="1:10" ht="30.75" thickBot="1">
      <c r="A13" s="2">
        <v>1011</v>
      </c>
      <c r="B13" s="2" t="s">
        <v>54</v>
      </c>
      <c r="C13" s="2" t="s">
        <v>37</v>
      </c>
      <c r="D13" s="2" t="s">
        <v>42</v>
      </c>
      <c r="E13" s="2">
        <v>40</v>
      </c>
      <c r="F13" s="2">
        <v>5</v>
      </c>
      <c r="G13" s="8">
        <f t="shared" si="0"/>
        <v>200</v>
      </c>
      <c r="H13" s="2" t="s">
        <v>55</v>
      </c>
    </row>
    <row r="14" spans="1:10" ht="30.75" thickBot="1">
      <c r="A14" s="2">
        <v>1012</v>
      </c>
      <c r="B14" s="2" t="s">
        <v>56</v>
      </c>
      <c r="C14" s="2" t="s">
        <v>40</v>
      </c>
      <c r="D14" s="2" t="s">
        <v>46</v>
      </c>
      <c r="E14" s="2">
        <v>35</v>
      </c>
      <c r="F14" s="2">
        <v>8</v>
      </c>
      <c r="G14" s="8">
        <f t="shared" si="0"/>
        <v>280</v>
      </c>
      <c r="H14" s="2" t="s">
        <v>57</v>
      </c>
    </row>
    <row r="15" spans="1:10" ht="30.75" thickBot="1">
      <c r="A15" s="2">
        <v>1013</v>
      </c>
      <c r="B15" s="2" t="s">
        <v>58</v>
      </c>
      <c r="C15" s="2" t="s">
        <v>31</v>
      </c>
      <c r="D15" s="2" t="s">
        <v>32</v>
      </c>
      <c r="E15" s="2">
        <v>14</v>
      </c>
      <c r="F15" s="2">
        <v>50</v>
      </c>
      <c r="G15" s="8">
        <f t="shared" si="0"/>
        <v>700</v>
      </c>
      <c r="H15" s="2" t="s">
        <v>59</v>
      </c>
    </row>
    <row r="16" spans="1:10" ht="30.75" thickBot="1">
      <c r="A16" s="2">
        <v>1014</v>
      </c>
      <c r="B16" s="2" t="s">
        <v>60</v>
      </c>
      <c r="C16" s="2" t="s">
        <v>34</v>
      </c>
      <c r="D16" s="2" t="s">
        <v>35</v>
      </c>
      <c r="E16" s="2">
        <v>28</v>
      </c>
      <c r="F16" s="2">
        <v>10</v>
      </c>
      <c r="G16" s="8">
        <f t="shared" si="0"/>
        <v>280</v>
      </c>
      <c r="H16" s="2" t="s">
        <v>61</v>
      </c>
    </row>
    <row r="17" spans="1:8" ht="30.75" thickBot="1">
      <c r="A17" s="2">
        <v>1015</v>
      </c>
      <c r="B17" s="2" t="s">
        <v>62</v>
      </c>
      <c r="C17" s="2" t="s">
        <v>37</v>
      </c>
      <c r="D17" s="2" t="s">
        <v>38</v>
      </c>
      <c r="E17" s="2">
        <v>12</v>
      </c>
      <c r="F17" s="2">
        <v>25</v>
      </c>
      <c r="G17" s="8">
        <f t="shared" si="0"/>
        <v>300</v>
      </c>
      <c r="H17" s="2" t="s">
        <v>63</v>
      </c>
    </row>
    <row r="18" spans="1:8" ht="30.75" thickBot="1">
      <c r="A18" s="2">
        <v>1016</v>
      </c>
      <c r="B18" s="2" t="s">
        <v>64</v>
      </c>
      <c r="C18" s="2" t="s">
        <v>40</v>
      </c>
      <c r="D18" s="2" t="s">
        <v>42</v>
      </c>
      <c r="E18" s="2">
        <v>25</v>
      </c>
      <c r="F18" s="2">
        <v>5</v>
      </c>
      <c r="G18" s="8">
        <f t="shared" si="0"/>
        <v>125</v>
      </c>
      <c r="H18" s="2" t="s">
        <v>65</v>
      </c>
    </row>
    <row r="19" spans="1:8" ht="30.75" thickBot="1">
      <c r="A19" s="2">
        <v>1017</v>
      </c>
      <c r="B19" s="2" t="s">
        <v>66</v>
      </c>
      <c r="C19" s="2" t="s">
        <v>31</v>
      </c>
      <c r="D19" s="2" t="s">
        <v>46</v>
      </c>
      <c r="E19" s="2">
        <v>20</v>
      </c>
      <c r="F19" s="2">
        <v>8</v>
      </c>
      <c r="G19" s="8">
        <f t="shared" si="0"/>
        <v>160</v>
      </c>
      <c r="H19" s="2" t="s">
        <v>67</v>
      </c>
    </row>
    <row r="20" spans="1:8" ht="30.75" thickBot="1">
      <c r="A20" s="2">
        <v>1018</v>
      </c>
      <c r="B20" s="2" t="s">
        <v>68</v>
      </c>
      <c r="C20" s="2" t="s">
        <v>34</v>
      </c>
      <c r="D20" s="2" t="s">
        <v>32</v>
      </c>
      <c r="E20" s="2">
        <v>10</v>
      </c>
      <c r="F20" s="2">
        <v>50</v>
      </c>
      <c r="G20" s="8">
        <f t="shared" si="0"/>
        <v>500</v>
      </c>
      <c r="H20" s="2" t="s">
        <v>69</v>
      </c>
    </row>
    <row r="21" spans="1:8" ht="30.75" thickBot="1">
      <c r="A21" s="2">
        <v>1019</v>
      </c>
      <c r="B21" s="2" t="s">
        <v>70</v>
      </c>
      <c r="C21" s="2" t="s">
        <v>37</v>
      </c>
      <c r="D21" s="2" t="s">
        <v>35</v>
      </c>
      <c r="E21" s="2">
        <v>15</v>
      </c>
      <c r="F21" s="2">
        <v>10</v>
      </c>
      <c r="G21" s="8">
        <f t="shared" si="0"/>
        <v>150</v>
      </c>
      <c r="H21" s="2" t="s">
        <v>71</v>
      </c>
    </row>
    <row r="22" spans="1:8" ht="30.75" thickBot="1">
      <c r="A22" s="2">
        <v>1020</v>
      </c>
      <c r="B22" s="2" t="s">
        <v>72</v>
      </c>
      <c r="C22" s="2" t="s">
        <v>40</v>
      </c>
      <c r="D22" s="2" t="s">
        <v>38</v>
      </c>
      <c r="E22" s="2">
        <v>18</v>
      </c>
      <c r="F22" s="2">
        <v>25</v>
      </c>
      <c r="G22" s="8">
        <f t="shared" si="0"/>
        <v>450</v>
      </c>
      <c r="H22" s="5">
        <v>45293</v>
      </c>
    </row>
    <row r="23" spans="1:8" ht="30.75" thickBot="1">
      <c r="A23" s="2">
        <v>1021</v>
      </c>
      <c r="B23" s="2" t="s">
        <v>73</v>
      </c>
      <c r="C23" s="2" t="s">
        <v>31</v>
      </c>
      <c r="D23" s="2" t="s">
        <v>32</v>
      </c>
      <c r="E23" s="2">
        <v>9</v>
      </c>
      <c r="F23" s="2">
        <v>50</v>
      </c>
      <c r="G23" s="8">
        <f t="shared" si="0"/>
        <v>450</v>
      </c>
      <c r="H23" s="5">
        <v>45324</v>
      </c>
    </row>
    <row r="24" spans="1:8" ht="30.75" thickBot="1">
      <c r="A24" s="2">
        <v>1022</v>
      </c>
      <c r="B24" s="2" t="s">
        <v>74</v>
      </c>
      <c r="C24" s="2" t="s">
        <v>34</v>
      </c>
      <c r="D24" s="2" t="s">
        <v>42</v>
      </c>
      <c r="E24" s="2">
        <v>35</v>
      </c>
      <c r="F24" s="2">
        <v>5</v>
      </c>
      <c r="G24" s="8">
        <f t="shared" si="0"/>
        <v>175</v>
      </c>
      <c r="H24" s="5">
        <v>45353</v>
      </c>
    </row>
    <row r="25" spans="1:8" ht="30.75" thickBot="1">
      <c r="A25" s="2">
        <v>1023</v>
      </c>
      <c r="B25" s="2" t="s">
        <v>75</v>
      </c>
      <c r="C25" s="2" t="s">
        <v>37</v>
      </c>
      <c r="D25" s="2" t="s">
        <v>46</v>
      </c>
      <c r="E25" s="2">
        <v>30</v>
      </c>
      <c r="F25" s="2">
        <v>8</v>
      </c>
      <c r="G25" s="8">
        <f t="shared" si="0"/>
        <v>240</v>
      </c>
      <c r="H25" s="5">
        <v>45384</v>
      </c>
    </row>
    <row r="26" spans="1:8" ht="30.75" thickBot="1">
      <c r="A26" s="2">
        <v>1024</v>
      </c>
      <c r="B26" s="2" t="s">
        <v>76</v>
      </c>
      <c r="C26" s="2" t="s">
        <v>40</v>
      </c>
      <c r="D26" s="2" t="s">
        <v>32</v>
      </c>
      <c r="E26" s="2">
        <v>11</v>
      </c>
      <c r="F26" s="2">
        <v>50</v>
      </c>
      <c r="G26" s="8">
        <f t="shared" si="0"/>
        <v>550</v>
      </c>
      <c r="H26" s="5">
        <v>45445</v>
      </c>
    </row>
    <row r="27" spans="1:8" ht="30.75" thickBot="1">
      <c r="A27" s="2">
        <v>1025</v>
      </c>
      <c r="B27" s="2" t="s">
        <v>77</v>
      </c>
      <c r="C27" s="2" t="s">
        <v>31</v>
      </c>
      <c r="D27" s="2" t="s">
        <v>35</v>
      </c>
      <c r="E27" s="2">
        <v>14</v>
      </c>
      <c r="F27" s="2">
        <v>10</v>
      </c>
      <c r="G27" s="8">
        <f t="shared" si="0"/>
        <v>140</v>
      </c>
      <c r="H27" s="5">
        <v>45475</v>
      </c>
    </row>
    <row r="28" spans="1:8" ht="30.75" thickBot="1">
      <c r="A28" s="2">
        <v>1026</v>
      </c>
      <c r="B28" s="2" t="s">
        <v>78</v>
      </c>
      <c r="C28" s="2" t="s">
        <v>34</v>
      </c>
      <c r="D28" s="2" t="s">
        <v>38</v>
      </c>
      <c r="E28" s="2">
        <v>16</v>
      </c>
      <c r="F28" s="2">
        <v>25</v>
      </c>
      <c r="G28" s="8">
        <f t="shared" si="0"/>
        <v>400</v>
      </c>
      <c r="H28" s="5">
        <v>45506</v>
      </c>
    </row>
    <row r="29" spans="1:8" ht="30.75" thickBot="1">
      <c r="A29" s="2">
        <v>1027</v>
      </c>
      <c r="B29" s="2" t="s">
        <v>79</v>
      </c>
      <c r="C29" s="2" t="s">
        <v>37</v>
      </c>
      <c r="D29" s="2" t="s">
        <v>42</v>
      </c>
      <c r="E29" s="2">
        <v>22</v>
      </c>
      <c r="F29" s="2">
        <v>5</v>
      </c>
      <c r="G29" s="8">
        <f t="shared" si="0"/>
        <v>110</v>
      </c>
      <c r="H29" s="5">
        <v>45537</v>
      </c>
    </row>
    <row r="30" spans="1:8" ht="30.75" thickBot="1">
      <c r="A30" s="2">
        <v>1028</v>
      </c>
      <c r="B30" s="2" t="s">
        <v>80</v>
      </c>
      <c r="C30" s="2" t="s">
        <v>40</v>
      </c>
      <c r="D30" s="2" t="s">
        <v>46</v>
      </c>
      <c r="E30" s="2">
        <v>27</v>
      </c>
      <c r="F30" s="2">
        <v>8</v>
      </c>
      <c r="G30" s="8">
        <f t="shared" si="0"/>
        <v>216</v>
      </c>
      <c r="H30" s="5">
        <v>45567</v>
      </c>
    </row>
    <row r="31" spans="1:8" ht="30.75" thickBot="1">
      <c r="A31" s="2">
        <v>1029</v>
      </c>
      <c r="B31" s="2" t="s">
        <v>81</v>
      </c>
      <c r="C31" s="2" t="s">
        <v>31</v>
      </c>
      <c r="D31" s="2" t="s">
        <v>32</v>
      </c>
      <c r="E31" s="2">
        <v>13</v>
      </c>
      <c r="F31" s="2">
        <v>50</v>
      </c>
      <c r="G31" s="8">
        <f t="shared" si="0"/>
        <v>650</v>
      </c>
      <c r="H31" s="5">
        <v>45628</v>
      </c>
    </row>
    <row r="32" spans="1:8" ht="30.75" thickBot="1">
      <c r="A32" s="2">
        <v>1030</v>
      </c>
      <c r="B32" s="2" t="s">
        <v>82</v>
      </c>
      <c r="C32" s="2" t="s">
        <v>34</v>
      </c>
      <c r="D32" s="2" t="s">
        <v>35</v>
      </c>
      <c r="E32" s="2">
        <v>32</v>
      </c>
      <c r="F32" s="2">
        <v>10</v>
      </c>
      <c r="G32" s="8">
        <f t="shared" si="0"/>
        <v>320</v>
      </c>
      <c r="H32" s="2" t="s">
        <v>83</v>
      </c>
    </row>
    <row r="33" spans="1:8" ht="30.75" thickBot="1">
      <c r="A33" s="2">
        <v>1031</v>
      </c>
      <c r="B33" s="2" t="s">
        <v>84</v>
      </c>
      <c r="C33" s="2" t="s">
        <v>37</v>
      </c>
      <c r="D33" s="2" t="s">
        <v>38</v>
      </c>
      <c r="E33" s="2">
        <v>10</v>
      </c>
      <c r="F33" s="2">
        <v>25</v>
      </c>
      <c r="G33" s="8">
        <f t="shared" si="0"/>
        <v>250</v>
      </c>
      <c r="H33" s="2" t="s">
        <v>85</v>
      </c>
    </row>
    <row r="34" spans="1:8" ht="30.75" thickBot="1">
      <c r="A34" s="2">
        <v>1032</v>
      </c>
      <c r="B34" s="2" t="s">
        <v>86</v>
      </c>
      <c r="C34" s="2" t="s">
        <v>40</v>
      </c>
      <c r="D34" s="2" t="s">
        <v>42</v>
      </c>
      <c r="E34" s="2">
        <v>18</v>
      </c>
      <c r="F34" s="2">
        <v>5</v>
      </c>
      <c r="G34" s="8">
        <f t="shared" si="0"/>
        <v>90</v>
      </c>
      <c r="H34" s="2" t="s">
        <v>87</v>
      </c>
    </row>
    <row r="35" spans="1:8" ht="30.75" thickBot="1">
      <c r="A35" s="2">
        <v>1033</v>
      </c>
      <c r="B35" s="2" t="s">
        <v>88</v>
      </c>
      <c r="C35" s="2" t="s">
        <v>31</v>
      </c>
      <c r="D35" s="2" t="s">
        <v>46</v>
      </c>
      <c r="E35" s="2">
        <v>22</v>
      </c>
      <c r="F35" s="2">
        <v>8</v>
      </c>
      <c r="G35" s="8">
        <f t="shared" si="0"/>
        <v>176</v>
      </c>
      <c r="H35" s="2" t="s">
        <v>89</v>
      </c>
    </row>
    <row r="36" spans="1:8" ht="30.75" thickBot="1">
      <c r="A36" s="2">
        <v>1034</v>
      </c>
      <c r="B36" s="2" t="s">
        <v>90</v>
      </c>
      <c r="C36" s="2" t="s">
        <v>34</v>
      </c>
      <c r="D36" s="2" t="s">
        <v>32</v>
      </c>
      <c r="E36" s="2">
        <v>17</v>
      </c>
      <c r="F36" s="2">
        <v>50</v>
      </c>
      <c r="G36" s="8">
        <f t="shared" si="0"/>
        <v>850</v>
      </c>
      <c r="H36" s="2" t="s">
        <v>91</v>
      </c>
    </row>
    <row r="37" spans="1:8" ht="30.75" thickBot="1">
      <c r="A37" s="2">
        <v>1035</v>
      </c>
      <c r="B37" s="2" t="s">
        <v>92</v>
      </c>
      <c r="C37" s="2" t="s">
        <v>37</v>
      </c>
      <c r="D37" s="2" t="s">
        <v>35</v>
      </c>
      <c r="E37" s="2">
        <v>19</v>
      </c>
      <c r="F37" s="2">
        <v>10</v>
      </c>
      <c r="G37" s="8">
        <f t="shared" si="0"/>
        <v>190</v>
      </c>
      <c r="H37" s="2" t="s">
        <v>93</v>
      </c>
    </row>
    <row r="38" spans="1:8" ht="30.75" thickBot="1">
      <c r="A38" s="2">
        <v>1036</v>
      </c>
      <c r="B38" s="2" t="s">
        <v>94</v>
      </c>
      <c r="C38" s="2" t="s">
        <v>40</v>
      </c>
      <c r="D38" s="2" t="s">
        <v>38</v>
      </c>
      <c r="E38" s="2">
        <v>15</v>
      </c>
      <c r="F38" s="2">
        <v>25</v>
      </c>
      <c r="G38" s="8">
        <f t="shared" si="0"/>
        <v>375</v>
      </c>
      <c r="H38" s="2" t="s">
        <v>95</v>
      </c>
    </row>
    <row r="39" spans="1:8" ht="30.75" thickBot="1">
      <c r="A39" s="2">
        <v>1037</v>
      </c>
      <c r="B39" s="2" t="s">
        <v>96</v>
      </c>
      <c r="C39" s="2" t="s">
        <v>31</v>
      </c>
      <c r="D39" s="2" t="s">
        <v>42</v>
      </c>
      <c r="E39" s="2">
        <v>28</v>
      </c>
      <c r="F39" s="2">
        <v>5</v>
      </c>
      <c r="G39" s="8">
        <f t="shared" si="0"/>
        <v>140</v>
      </c>
      <c r="H39" s="2" t="s">
        <v>97</v>
      </c>
    </row>
    <row r="40" spans="1:8" ht="30.75" thickBot="1">
      <c r="A40" s="2">
        <v>1038</v>
      </c>
      <c r="B40" s="2" t="s">
        <v>98</v>
      </c>
      <c r="C40" s="2" t="s">
        <v>34</v>
      </c>
      <c r="D40" s="2" t="s">
        <v>46</v>
      </c>
      <c r="E40" s="2">
        <v>24</v>
      </c>
      <c r="F40" s="2">
        <v>8</v>
      </c>
      <c r="G40" s="8">
        <f t="shared" si="0"/>
        <v>192</v>
      </c>
      <c r="H40" s="2" t="s">
        <v>99</v>
      </c>
    </row>
    <row r="41" spans="1:8" ht="30.75" thickBot="1">
      <c r="A41" s="2">
        <v>1039</v>
      </c>
      <c r="B41" s="2" t="s">
        <v>100</v>
      </c>
      <c r="C41" s="2" t="s">
        <v>37</v>
      </c>
      <c r="D41" s="2" t="s">
        <v>32</v>
      </c>
      <c r="E41" s="2">
        <v>16</v>
      </c>
      <c r="F41" s="2">
        <v>50</v>
      </c>
      <c r="G41" s="8">
        <f t="shared" si="0"/>
        <v>800</v>
      </c>
      <c r="H41" s="2" t="s">
        <v>101</v>
      </c>
    </row>
    <row r="42" spans="1:8" ht="30.75" thickBot="1">
      <c r="A42" s="2">
        <v>1040</v>
      </c>
      <c r="B42" s="2" t="s">
        <v>102</v>
      </c>
      <c r="C42" s="2" t="s">
        <v>40</v>
      </c>
      <c r="D42" s="2" t="s">
        <v>35</v>
      </c>
      <c r="E42" s="2">
        <v>27</v>
      </c>
      <c r="F42" s="2">
        <v>10</v>
      </c>
      <c r="G42" s="8">
        <f t="shared" si="0"/>
        <v>270</v>
      </c>
      <c r="H42" s="2" t="s">
        <v>103</v>
      </c>
    </row>
    <row r="43" spans="1:8" ht="30.75" thickBot="1">
      <c r="A43" s="2">
        <v>1041</v>
      </c>
      <c r="B43" s="2" t="s">
        <v>104</v>
      </c>
      <c r="C43" s="2" t="s">
        <v>31</v>
      </c>
      <c r="D43" s="2" t="s">
        <v>38</v>
      </c>
      <c r="E43" s="2">
        <v>21</v>
      </c>
      <c r="F43" s="2">
        <v>25</v>
      </c>
      <c r="G43" s="8">
        <f t="shared" si="0"/>
        <v>525</v>
      </c>
      <c r="H43" s="2" t="s">
        <v>105</v>
      </c>
    </row>
    <row r="44" spans="1:8" ht="30.75" thickBot="1">
      <c r="A44" s="2">
        <v>1042</v>
      </c>
      <c r="B44" s="2" t="s">
        <v>106</v>
      </c>
      <c r="C44" s="2" t="s">
        <v>34</v>
      </c>
      <c r="D44" s="2" t="s">
        <v>42</v>
      </c>
      <c r="E44" s="2">
        <v>30</v>
      </c>
      <c r="F44" s="2">
        <v>5</v>
      </c>
      <c r="G44" s="8">
        <f t="shared" si="0"/>
        <v>150</v>
      </c>
      <c r="H44" s="2" t="s">
        <v>107</v>
      </c>
    </row>
    <row r="45" spans="1:8" ht="30.75" thickBot="1">
      <c r="A45" s="2">
        <v>1043</v>
      </c>
      <c r="B45" s="2" t="s">
        <v>108</v>
      </c>
      <c r="C45" s="2" t="s">
        <v>37</v>
      </c>
      <c r="D45" s="2" t="s">
        <v>46</v>
      </c>
      <c r="E45" s="2">
        <v>26</v>
      </c>
      <c r="F45" s="2">
        <v>8</v>
      </c>
      <c r="G45" s="8">
        <f t="shared" si="0"/>
        <v>208</v>
      </c>
      <c r="H45" s="5">
        <v>45294</v>
      </c>
    </row>
    <row r="46" spans="1:8" ht="30.75" thickBot="1">
      <c r="A46" s="2">
        <v>1044</v>
      </c>
      <c r="B46" s="2" t="s">
        <v>109</v>
      </c>
      <c r="C46" s="2" t="s">
        <v>40</v>
      </c>
      <c r="D46" s="2" t="s">
        <v>32</v>
      </c>
      <c r="E46" s="2">
        <v>14</v>
      </c>
      <c r="F46" s="2">
        <v>50</v>
      </c>
      <c r="G46" s="8">
        <f t="shared" si="0"/>
        <v>700</v>
      </c>
      <c r="H46" s="5">
        <v>45325</v>
      </c>
    </row>
    <row r="47" spans="1:8" ht="30.75" thickBot="1">
      <c r="A47" s="2">
        <v>1045</v>
      </c>
      <c r="B47" s="2" t="s">
        <v>110</v>
      </c>
      <c r="C47" s="2" t="s">
        <v>31</v>
      </c>
      <c r="D47" s="2" t="s">
        <v>35</v>
      </c>
      <c r="E47" s="2">
        <v>20</v>
      </c>
      <c r="F47" s="2">
        <v>10</v>
      </c>
      <c r="G47" s="8">
        <f t="shared" si="0"/>
        <v>200</v>
      </c>
      <c r="H47" s="5">
        <v>45354</v>
      </c>
    </row>
    <row r="48" spans="1:8" ht="30.75" thickBot="1">
      <c r="A48" s="2">
        <v>1046</v>
      </c>
      <c r="B48" s="2" t="s">
        <v>111</v>
      </c>
      <c r="C48" s="2" t="s">
        <v>34</v>
      </c>
      <c r="D48" s="2" t="s">
        <v>38</v>
      </c>
      <c r="E48" s="2">
        <v>17</v>
      </c>
      <c r="F48" s="2">
        <v>25</v>
      </c>
      <c r="G48" s="8">
        <f t="shared" si="0"/>
        <v>425</v>
      </c>
      <c r="H48" s="5">
        <v>45385</v>
      </c>
    </row>
    <row r="49" spans="1:8" ht="30.75" thickBot="1">
      <c r="A49" s="2">
        <v>1047</v>
      </c>
      <c r="B49" s="2" t="s">
        <v>112</v>
      </c>
      <c r="C49" s="2" t="s">
        <v>37</v>
      </c>
      <c r="D49" s="2" t="s">
        <v>42</v>
      </c>
      <c r="E49" s="2">
        <v>19</v>
      </c>
      <c r="F49" s="2">
        <v>5</v>
      </c>
      <c r="G49" s="8">
        <f t="shared" si="0"/>
        <v>95</v>
      </c>
      <c r="H49" s="5">
        <v>45415</v>
      </c>
    </row>
    <row r="50" spans="1:8" ht="30.75" thickBot="1">
      <c r="A50" s="2">
        <v>1048</v>
      </c>
      <c r="B50" s="2" t="s">
        <v>113</v>
      </c>
      <c r="C50" s="2" t="s">
        <v>40</v>
      </c>
      <c r="D50" s="2" t="s">
        <v>46</v>
      </c>
      <c r="E50" s="2">
        <v>32</v>
      </c>
      <c r="F50" s="2">
        <v>8</v>
      </c>
      <c r="G50" s="8">
        <f t="shared" si="0"/>
        <v>256</v>
      </c>
      <c r="H50" s="5">
        <v>45446</v>
      </c>
    </row>
    <row r="51" spans="1:8" ht="30.75" thickBot="1">
      <c r="A51" s="2">
        <v>1049</v>
      </c>
      <c r="B51" s="2" t="s">
        <v>114</v>
      </c>
      <c r="C51" s="2" t="s">
        <v>31</v>
      </c>
      <c r="D51" s="2" t="s">
        <v>32</v>
      </c>
      <c r="E51" s="2">
        <v>12</v>
      </c>
      <c r="F51" s="2">
        <v>50</v>
      </c>
      <c r="G51" s="8">
        <f t="shared" si="0"/>
        <v>600</v>
      </c>
      <c r="H51" s="5">
        <v>45476</v>
      </c>
    </row>
    <row r="52" spans="1:8" ht="30.75" thickBot="1">
      <c r="A52" s="2">
        <v>1050</v>
      </c>
      <c r="B52" s="2" t="s">
        <v>115</v>
      </c>
      <c r="C52" s="2" t="s">
        <v>34</v>
      </c>
      <c r="D52" s="2" t="s">
        <v>35</v>
      </c>
      <c r="E52" s="2">
        <v>25</v>
      </c>
      <c r="F52" s="2">
        <v>10</v>
      </c>
      <c r="G52" s="8">
        <f t="shared" si="0"/>
        <v>250</v>
      </c>
      <c r="H52" s="5">
        <v>45507</v>
      </c>
    </row>
  </sheetData>
  <mergeCells count="1">
    <mergeCell ref="A1:J1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9396-9C95-413F-A57B-5D78E832D147}">
  <dimension ref="A1:I52"/>
  <sheetViews>
    <sheetView workbookViewId="0">
      <selection activeCell="T2" sqref="T2"/>
    </sheetView>
  </sheetViews>
  <sheetFormatPr defaultRowHeight="15"/>
  <cols>
    <col min="8" max="8" width="9.7109375" bestFit="1" customWidth="1"/>
  </cols>
  <sheetData>
    <row r="1" spans="1:9" ht="19.5" thickBot="1">
      <c r="A1" s="13" t="s">
        <v>124</v>
      </c>
      <c r="B1" s="13"/>
      <c r="C1" s="13"/>
      <c r="D1" s="13"/>
      <c r="E1" s="13"/>
      <c r="F1" s="13"/>
      <c r="G1" s="13"/>
      <c r="H1" s="13"/>
      <c r="I1" s="13"/>
    </row>
    <row r="2" spans="1:9" ht="30.75" thickBot="1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7" t="s">
        <v>118</v>
      </c>
      <c r="H2" s="3" t="s">
        <v>44</v>
      </c>
    </row>
    <row r="3" spans="1:9" ht="30.75" thickBot="1">
      <c r="A3" s="2">
        <v>1020</v>
      </c>
      <c r="B3" s="2" t="s">
        <v>72</v>
      </c>
      <c r="C3" s="2" t="s">
        <v>40</v>
      </c>
      <c r="D3" s="2" t="s">
        <v>38</v>
      </c>
      <c r="E3" s="2">
        <v>18</v>
      </c>
      <c r="F3" s="2">
        <v>25</v>
      </c>
      <c r="G3" s="8">
        <f>PRODUCT(E3*F3)</f>
        <v>450</v>
      </c>
      <c r="H3" s="5">
        <v>45293</v>
      </c>
    </row>
    <row r="4" spans="1:9" ht="30.75" thickBot="1">
      <c r="A4" s="2">
        <v>1043</v>
      </c>
      <c r="B4" s="2" t="s">
        <v>108</v>
      </c>
      <c r="C4" s="2" t="s">
        <v>37</v>
      </c>
      <c r="D4" s="2" t="s">
        <v>46</v>
      </c>
      <c r="E4" s="2">
        <v>26</v>
      </c>
      <c r="F4" s="2">
        <v>8</v>
      </c>
      <c r="G4" s="8">
        <f>PRODUCT(E4*F4)</f>
        <v>208</v>
      </c>
      <c r="H4" s="5">
        <v>45294</v>
      </c>
    </row>
    <row r="5" spans="1:9" ht="30.75" thickBot="1">
      <c r="A5" s="2">
        <v>1021</v>
      </c>
      <c r="B5" s="2" t="s">
        <v>73</v>
      </c>
      <c r="C5" s="2" t="s">
        <v>31</v>
      </c>
      <c r="D5" s="2" t="s">
        <v>32</v>
      </c>
      <c r="E5" s="2">
        <v>9</v>
      </c>
      <c r="F5" s="2">
        <v>50</v>
      </c>
      <c r="G5" s="8">
        <f>PRODUCT(E5*F5)</f>
        <v>450</v>
      </c>
      <c r="H5" s="5">
        <v>45324</v>
      </c>
    </row>
    <row r="6" spans="1:9" ht="30.75" thickBot="1">
      <c r="A6" s="2">
        <v>1044</v>
      </c>
      <c r="B6" s="2" t="s">
        <v>109</v>
      </c>
      <c r="C6" s="2" t="s">
        <v>40</v>
      </c>
      <c r="D6" s="2" t="s">
        <v>32</v>
      </c>
      <c r="E6" s="2">
        <v>14</v>
      </c>
      <c r="F6" s="2">
        <v>50</v>
      </c>
      <c r="G6" s="8">
        <f>PRODUCT(E6*F6)</f>
        <v>700</v>
      </c>
      <c r="H6" s="5">
        <v>45325</v>
      </c>
    </row>
    <row r="7" spans="1:9" ht="30.75" thickBot="1">
      <c r="A7" s="2">
        <v>1022</v>
      </c>
      <c r="B7" s="2" t="s">
        <v>74</v>
      </c>
      <c r="C7" s="2" t="s">
        <v>34</v>
      </c>
      <c r="D7" s="2" t="s">
        <v>42</v>
      </c>
      <c r="E7" s="2">
        <v>35</v>
      </c>
      <c r="F7" s="2">
        <v>5</v>
      </c>
      <c r="G7" s="8">
        <f>PRODUCT(E7*F7)</f>
        <v>175</v>
      </c>
      <c r="H7" s="5">
        <v>45353</v>
      </c>
    </row>
    <row r="8" spans="1:9" ht="30.75" thickBot="1">
      <c r="A8" s="2">
        <v>1045</v>
      </c>
      <c r="B8" s="2" t="s">
        <v>110</v>
      </c>
      <c r="C8" s="2" t="s">
        <v>31</v>
      </c>
      <c r="D8" s="2" t="s">
        <v>35</v>
      </c>
      <c r="E8" s="2">
        <v>20</v>
      </c>
      <c r="F8" s="2">
        <v>10</v>
      </c>
      <c r="G8" s="8">
        <f>PRODUCT(E8*F8)</f>
        <v>200</v>
      </c>
      <c r="H8" s="5">
        <v>45354</v>
      </c>
    </row>
    <row r="9" spans="1:9" ht="30.75" thickBot="1">
      <c r="A9" s="2">
        <v>1023</v>
      </c>
      <c r="B9" s="2" t="s">
        <v>75</v>
      </c>
      <c r="C9" s="2" t="s">
        <v>37</v>
      </c>
      <c r="D9" s="2" t="s">
        <v>46</v>
      </c>
      <c r="E9" s="2">
        <v>30</v>
      </c>
      <c r="F9" s="2">
        <v>8</v>
      </c>
      <c r="G9" s="8">
        <f>PRODUCT(E9*F9)</f>
        <v>240</v>
      </c>
      <c r="H9" s="5">
        <v>45384</v>
      </c>
    </row>
    <row r="10" spans="1:9" ht="30.75" thickBot="1">
      <c r="A10" s="2">
        <v>1046</v>
      </c>
      <c r="B10" s="2" t="s">
        <v>111</v>
      </c>
      <c r="C10" s="2" t="s">
        <v>34</v>
      </c>
      <c r="D10" s="2" t="s">
        <v>38</v>
      </c>
      <c r="E10" s="2">
        <v>17</v>
      </c>
      <c r="F10" s="2">
        <v>25</v>
      </c>
      <c r="G10" s="8">
        <f>PRODUCT(E10*F10)</f>
        <v>425</v>
      </c>
      <c r="H10" s="5">
        <v>45385</v>
      </c>
    </row>
    <row r="11" spans="1:9" ht="30.75" thickBot="1">
      <c r="A11" s="2">
        <v>1001</v>
      </c>
      <c r="B11" s="2" t="s">
        <v>30</v>
      </c>
      <c r="C11" s="2" t="s">
        <v>31</v>
      </c>
      <c r="D11" s="2" t="s">
        <v>32</v>
      </c>
      <c r="E11" s="2">
        <v>10</v>
      </c>
      <c r="F11" s="2">
        <v>50</v>
      </c>
      <c r="G11" s="8">
        <f>PRODUCT(E11*F11)</f>
        <v>500</v>
      </c>
      <c r="H11" s="5">
        <v>45413</v>
      </c>
    </row>
    <row r="12" spans="1:9" ht="30.75" thickBot="1">
      <c r="A12" s="2">
        <v>1047</v>
      </c>
      <c r="B12" s="2" t="s">
        <v>112</v>
      </c>
      <c r="C12" s="2" t="s">
        <v>37</v>
      </c>
      <c r="D12" s="2" t="s">
        <v>42</v>
      </c>
      <c r="E12" s="2">
        <v>19</v>
      </c>
      <c r="F12" s="2">
        <v>5</v>
      </c>
      <c r="G12" s="8">
        <f>PRODUCT(E12*F12)</f>
        <v>95</v>
      </c>
      <c r="H12" s="5">
        <v>45415</v>
      </c>
    </row>
    <row r="13" spans="1:9" ht="30.75" thickBot="1">
      <c r="A13" s="2">
        <v>1002</v>
      </c>
      <c r="B13" s="2" t="s">
        <v>33</v>
      </c>
      <c r="C13" s="2" t="s">
        <v>34</v>
      </c>
      <c r="D13" s="2" t="s">
        <v>35</v>
      </c>
      <c r="E13" s="2">
        <v>20</v>
      </c>
      <c r="F13" s="2">
        <v>10</v>
      </c>
      <c r="G13" s="8">
        <f>PRODUCT(E13*F13)</f>
        <v>200</v>
      </c>
      <c r="H13" s="5">
        <v>45444</v>
      </c>
    </row>
    <row r="14" spans="1:9" ht="30.75" thickBot="1">
      <c r="A14" s="2">
        <v>1024</v>
      </c>
      <c r="B14" s="2" t="s">
        <v>76</v>
      </c>
      <c r="C14" s="2" t="s">
        <v>40</v>
      </c>
      <c r="D14" s="2" t="s">
        <v>32</v>
      </c>
      <c r="E14" s="2">
        <v>11</v>
      </c>
      <c r="F14" s="2">
        <v>50</v>
      </c>
      <c r="G14" s="8">
        <f>PRODUCT(E14*F14)</f>
        <v>550</v>
      </c>
      <c r="H14" s="5">
        <v>45445</v>
      </c>
    </row>
    <row r="15" spans="1:9" ht="30.75" thickBot="1">
      <c r="A15" s="2">
        <v>1048</v>
      </c>
      <c r="B15" s="2" t="s">
        <v>113</v>
      </c>
      <c r="C15" s="2" t="s">
        <v>40</v>
      </c>
      <c r="D15" s="2" t="s">
        <v>46</v>
      </c>
      <c r="E15" s="2">
        <v>32</v>
      </c>
      <c r="F15" s="2">
        <v>8</v>
      </c>
      <c r="G15" s="8">
        <f>PRODUCT(E15*F15)</f>
        <v>256</v>
      </c>
      <c r="H15" s="5">
        <v>45446</v>
      </c>
    </row>
    <row r="16" spans="1:9" ht="30.75" thickBot="1">
      <c r="A16" s="2">
        <v>1003</v>
      </c>
      <c r="B16" s="2" t="s">
        <v>36</v>
      </c>
      <c r="C16" s="2" t="s">
        <v>37</v>
      </c>
      <c r="D16" s="2" t="s">
        <v>38</v>
      </c>
      <c r="E16" s="2">
        <v>15</v>
      </c>
      <c r="F16" s="2">
        <v>25</v>
      </c>
      <c r="G16" s="8">
        <f>PRODUCT(E16*F16)</f>
        <v>375</v>
      </c>
      <c r="H16" s="5">
        <v>45474</v>
      </c>
    </row>
    <row r="17" spans="1:8" ht="30.75" thickBot="1">
      <c r="A17" s="2">
        <v>1025</v>
      </c>
      <c r="B17" s="2" t="s">
        <v>77</v>
      </c>
      <c r="C17" s="2" t="s">
        <v>31</v>
      </c>
      <c r="D17" s="2" t="s">
        <v>35</v>
      </c>
      <c r="E17" s="2">
        <v>14</v>
      </c>
      <c r="F17" s="2">
        <v>10</v>
      </c>
      <c r="G17" s="8">
        <f>PRODUCT(E17*F17)</f>
        <v>140</v>
      </c>
      <c r="H17" s="5">
        <v>45475</v>
      </c>
    </row>
    <row r="18" spans="1:8" ht="30.75" thickBot="1">
      <c r="A18" s="2">
        <v>1049</v>
      </c>
      <c r="B18" s="2" t="s">
        <v>114</v>
      </c>
      <c r="C18" s="2" t="s">
        <v>31</v>
      </c>
      <c r="D18" s="2" t="s">
        <v>32</v>
      </c>
      <c r="E18" s="2">
        <v>12</v>
      </c>
      <c r="F18" s="2">
        <v>50</v>
      </c>
      <c r="G18" s="8">
        <f>PRODUCT(E18*F18)</f>
        <v>600</v>
      </c>
      <c r="H18" s="5">
        <v>45476</v>
      </c>
    </row>
    <row r="19" spans="1:8" ht="30.75" thickBot="1">
      <c r="A19" s="2">
        <v>1004</v>
      </c>
      <c r="B19" s="2" t="s">
        <v>39</v>
      </c>
      <c r="C19" s="2" t="s">
        <v>40</v>
      </c>
      <c r="D19" s="2" t="s">
        <v>32</v>
      </c>
      <c r="E19" s="2">
        <v>5</v>
      </c>
      <c r="F19" s="2">
        <v>50</v>
      </c>
      <c r="G19" s="8">
        <f>PRODUCT(E19*F19)</f>
        <v>250</v>
      </c>
      <c r="H19" s="5">
        <v>45505</v>
      </c>
    </row>
    <row r="20" spans="1:8" ht="30.75" thickBot="1">
      <c r="A20" s="2">
        <v>1026</v>
      </c>
      <c r="B20" s="2" t="s">
        <v>78</v>
      </c>
      <c r="C20" s="2" t="s">
        <v>34</v>
      </c>
      <c r="D20" s="2" t="s">
        <v>38</v>
      </c>
      <c r="E20" s="2">
        <v>16</v>
      </c>
      <c r="F20" s="2">
        <v>25</v>
      </c>
      <c r="G20" s="8">
        <f>PRODUCT(E20*F20)</f>
        <v>400</v>
      </c>
      <c r="H20" s="5">
        <v>45506</v>
      </c>
    </row>
    <row r="21" spans="1:8" ht="30.75" thickBot="1">
      <c r="A21" s="2">
        <v>1050</v>
      </c>
      <c r="B21" s="2" t="s">
        <v>115</v>
      </c>
      <c r="C21" s="2" t="s">
        <v>34</v>
      </c>
      <c r="D21" s="2" t="s">
        <v>35</v>
      </c>
      <c r="E21" s="2">
        <v>25</v>
      </c>
      <c r="F21" s="2">
        <v>10</v>
      </c>
      <c r="G21" s="8">
        <f>PRODUCT(E21*F21)</f>
        <v>250</v>
      </c>
      <c r="H21" s="5">
        <v>45507</v>
      </c>
    </row>
    <row r="22" spans="1:8" ht="30.75" thickBot="1">
      <c r="A22" s="2">
        <v>1027</v>
      </c>
      <c r="B22" s="2" t="s">
        <v>79</v>
      </c>
      <c r="C22" s="2" t="s">
        <v>37</v>
      </c>
      <c r="D22" s="2" t="s">
        <v>42</v>
      </c>
      <c r="E22" s="2">
        <v>22</v>
      </c>
      <c r="F22" s="2">
        <v>5</v>
      </c>
      <c r="G22" s="8">
        <f>PRODUCT(E22*F22)</f>
        <v>110</v>
      </c>
      <c r="H22" s="5">
        <v>45537</v>
      </c>
    </row>
    <row r="23" spans="1:8" ht="30.75" thickBot="1">
      <c r="A23" s="2">
        <v>1005</v>
      </c>
      <c r="B23" s="2" t="s">
        <v>41</v>
      </c>
      <c r="C23" s="2" t="s">
        <v>31</v>
      </c>
      <c r="D23" s="2" t="s">
        <v>42</v>
      </c>
      <c r="E23" s="2">
        <v>30</v>
      </c>
      <c r="F23" s="2">
        <v>5</v>
      </c>
      <c r="G23" s="8">
        <f>PRODUCT(E23*F23)</f>
        <v>150</v>
      </c>
      <c r="H23" s="5">
        <v>45566</v>
      </c>
    </row>
    <row r="24" spans="1:8" ht="30.75" thickBot="1">
      <c r="A24" s="2">
        <v>1028</v>
      </c>
      <c r="B24" s="2" t="s">
        <v>80</v>
      </c>
      <c r="C24" s="2" t="s">
        <v>40</v>
      </c>
      <c r="D24" s="2" t="s">
        <v>46</v>
      </c>
      <c r="E24" s="2">
        <v>27</v>
      </c>
      <c r="F24" s="2">
        <v>8</v>
      </c>
      <c r="G24" s="8">
        <f>PRODUCT(E24*F24)</f>
        <v>216</v>
      </c>
      <c r="H24" s="5">
        <v>45567</v>
      </c>
    </row>
    <row r="25" spans="1:8" ht="30.75" thickBot="1">
      <c r="A25" s="2">
        <v>1006</v>
      </c>
      <c r="B25" s="2" t="s">
        <v>43</v>
      </c>
      <c r="C25" s="2" t="s">
        <v>34</v>
      </c>
      <c r="D25" s="2" t="s">
        <v>32</v>
      </c>
      <c r="E25" s="2">
        <v>12</v>
      </c>
      <c r="F25" s="2">
        <v>50</v>
      </c>
      <c r="G25" s="8">
        <f>PRODUCT(E25*F25)</f>
        <v>600</v>
      </c>
      <c r="H25" s="5">
        <v>45597</v>
      </c>
    </row>
    <row r="26" spans="1:8" ht="30.75" thickBot="1">
      <c r="A26" s="2">
        <v>1029</v>
      </c>
      <c r="B26" s="2" t="s">
        <v>81</v>
      </c>
      <c r="C26" s="2" t="s">
        <v>31</v>
      </c>
      <c r="D26" s="2" t="s">
        <v>32</v>
      </c>
      <c r="E26" s="2">
        <v>13</v>
      </c>
      <c r="F26" s="2">
        <v>50</v>
      </c>
      <c r="G26" s="8">
        <f>PRODUCT(E26*F26)</f>
        <v>650</v>
      </c>
      <c r="H26" s="5">
        <v>45628</v>
      </c>
    </row>
    <row r="27" spans="1:8" ht="30.75" thickBot="1">
      <c r="A27" s="2">
        <v>1007</v>
      </c>
      <c r="B27" s="2" t="s">
        <v>45</v>
      </c>
      <c r="C27" s="2" t="s">
        <v>37</v>
      </c>
      <c r="D27" s="2" t="s">
        <v>46</v>
      </c>
      <c r="E27" s="2">
        <v>25</v>
      </c>
      <c r="F27" s="2">
        <v>8</v>
      </c>
      <c r="G27" s="8">
        <f>PRODUCT(E27*F27)</f>
        <v>200</v>
      </c>
      <c r="H27" s="2" t="s">
        <v>47</v>
      </c>
    </row>
    <row r="28" spans="1:8" ht="30.75" thickBot="1">
      <c r="A28" s="2">
        <v>1030</v>
      </c>
      <c r="B28" s="2" t="s">
        <v>82</v>
      </c>
      <c r="C28" s="2" t="s">
        <v>34</v>
      </c>
      <c r="D28" s="2" t="s">
        <v>35</v>
      </c>
      <c r="E28" s="2">
        <v>32</v>
      </c>
      <c r="F28" s="2">
        <v>10</v>
      </c>
      <c r="G28" s="8">
        <f>PRODUCT(E28*F28)</f>
        <v>320</v>
      </c>
      <c r="H28" s="2" t="s">
        <v>83</v>
      </c>
    </row>
    <row r="29" spans="1:8" ht="30.75" thickBot="1">
      <c r="A29" s="2">
        <v>1031</v>
      </c>
      <c r="B29" s="2" t="s">
        <v>84</v>
      </c>
      <c r="C29" s="2" t="s">
        <v>37</v>
      </c>
      <c r="D29" s="2" t="s">
        <v>38</v>
      </c>
      <c r="E29" s="2">
        <v>10</v>
      </c>
      <c r="F29" s="2">
        <v>25</v>
      </c>
      <c r="G29" s="8">
        <f>PRODUCT(E29*F29)</f>
        <v>250</v>
      </c>
      <c r="H29" s="2" t="s">
        <v>85</v>
      </c>
    </row>
    <row r="30" spans="1:8" ht="30.75" thickBot="1">
      <c r="A30" s="2">
        <v>1008</v>
      </c>
      <c r="B30" s="2" t="s">
        <v>48</v>
      </c>
      <c r="C30" s="2" t="s">
        <v>40</v>
      </c>
      <c r="D30" s="2" t="s">
        <v>35</v>
      </c>
      <c r="E30" s="2">
        <v>18</v>
      </c>
      <c r="F30" s="2">
        <v>10</v>
      </c>
      <c r="G30" s="8">
        <f>PRODUCT(E30*F30)</f>
        <v>180</v>
      </c>
      <c r="H30" s="2" t="s">
        <v>49</v>
      </c>
    </row>
    <row r="31" spans="1:8" ht="30.75" thickBot="1">
      <c r="A31" s="2">
        <v>1032</v>
      </c>
      <c r="B31" s="2" t="s">
        <v>86</v>
      </c>
      <c r="C31" s="2" t="s">
        <v>40</v>
      </c>
      <c r="D31" s="2" t="s">
        <v>42</v>
      </c>
      <c r="E31" s="2">
        <v>18</v>
      </c>
      <c r="F31" s="2">
        <v>5</v>
      </c>
      <c r="G31" s="8">
        <f>PRODUCT(E31*F31)</f>
        <v>90</v>
      </c>
      <c r="H31" s="2" t="s">
        <v>87</v>
      </c>
    </row>
    <row r="32" spans="1:8" ht="30.75" thickBot="1">
      <c r="A32" s="2">
        <v>1009</v>
      </c>
      <c r="B32" s="2" t="s">
        <v>50</v>
      </c>
      <c r="C32" s="2" t="s">
        <v>31</v>
      </c>
      <c r="D32" s="2" t="s">
        <v>38</v>
      </c>
      <c r="E32" s="2">
        <v>22</v>
      </c>
      <c r="F32" s="2">
        <v>25</v>
      </c>
      <c r="G32" s="8">
        <f>PRODUCT(E32*F32)</f>
        <v>550</v>
      </c>
      <c r="H32" s="2" t="s">
        <v>51</v>
      </c>
    </row>
    <row r="33" spans="1:8" ht="30.75" thickBot="1">
      <c r="A33" s="2">
        <v>1033</v>
      </c>
      <c r="B33" s="2" t="s">
        <v>88</v>
      </c>
      <c r="C33" s="2" t="s">
        <v>31</v>
      </c>
      <c r="D33" s="2" t="s">
        <v>46</v>
      </c>
      <c r="E33" s="2">
        <v>22</v>
      </c>
      <c r="F33" s="2">
        <v>8</v>
      </c>
      <c r="G33" s="8">
        <f>PRODUCT(E33*F33)</f>
        <v>176</v>
      </c>
      <c r="H33" s="2" t="s">
        <v>89</v>
      </c>
    </row>
    <row r="34" spans="1:8" ht="30.75" thickBot="1">
      <c r="A34" s="2">
        <v>1010</v>
      </c>
      <c r="B34" s="2" t="s">
        <v>52</v>
      </c>
      <c r="C34" s="2" t="s">
        <v>34</v>
      </c>
      <c r="D34" s="2" t="s">
        <v>32</v>
      </c>
      <c r="E34" s="2">
        <v>8</v>
      </c>
      <c r="F34" s="2">
        <v>50</v>
      </c>
      <c r="G34" s="8">
        <f>PRODUCT(E34*F34)</f>
        <v>400</v>
      </c>
      <c r="H34" s="2" t="s">
        <v>53</v>
      </c>
    </row>
    <row r="35" spans="1:8" ht="30.75" thickBot="1">
      <c r="A35" s="2">
        <v>1034</v>
      </c>
      <c r="B35" s="2" t="s">
        <v>90</v>
      </c>
      <c r="C35" s="2" t="s">
        <v>34</v>
      </c>
      <c r="D35" s="2" t="s">
        <v>32</v>
      </c>
      <c r="E35" s="2">
        <v>17</v>
      </c>
      <c r="F35" s="2">
        <v>50</v>
      </c>
      <c r="G35" s="8">
        <f>PRODUCT(E35*F35)</f>
        <v>850</v>
      </c>
      <c r="H35" s="2" t="s">
        <v>91</v>
      </c>
    </row>
    <row r="36" spans="1:8" ht="30.75" thickBot="1">
      <c r="A36" s="2">
        <v>1011</v>
      </c>
      <c r="B36" s="2" t="s">
        <v>54</v>
      </c>
      <c r="C36" s="2" t="s">
        <v>37</v>
      </c>
      <c r="D36" s="2" t="s">
        <v>42</v>
      </c>
      <c r="E36" s="2">
        <v>40</v>
      </c>
      <c r="F36" s="2">
        <v>5</v>
      </c>
      <c r="G36" s="8">
        <f>PRODUCT(E36*F36)</f>
        <v>200</v>
      </c>
      <c r="H36" s="2" t="s">
        <v>55</v>
      </c>
    </row>
    <row r="37" spans="1:8" ht="30.75" thickBot="1">
      <c r="A37" s="2">
        <v>1035</v>
      </c>
      <c r="B37" s="2" t="s">
        <v>92</v>
      </c>
      <c r="C37" s="2" t="s">
        <v>37</v>
      </c>
      <c r="D37" s="2" t="s">
        <v>35</v>
      </c>
      <c r="E37" s="2">
        <v>19</v>
      </c>
      <c r="F37" s="2">
        <v>10</v>
      </c>
      <c r="G37" s="8">
        <f>PRODUCT(E37*F37)</f>
        <v>190</v>
      </c>
      <c r="H37" s="2" t="s">
        <v>93</v>
      </c>
    </row>
    <row r="38" spans="1:8" ht="30.75" thickBot="1">
      <c r="A38" s="2">
        <v>1012</v>
      </c>
      <c r="B38" s="2" t="s">
        <v>56</v>
      </c>
      <c r="C38" s="2" t="s">
        <v>40</v>
      </c>
      <c r="D38" s="2" t="s">
        <v>46</v>
      </c>
      <c r="E38" s="2">
        <v>35</v>
      </c>
      <c r="F38" s="2">
        <v>8</v>
      </c>
      <c r="G38" s="8">
        <f>PRODUCT(E38*F38)</f>
        <v>280</v>
      </c>
      <c r="H38" s="2" t="s">
        <v>57</v>
      </c>
    </row>
    <row r="39" spans="1:8" ht="30.75" thickBot="1">
      <c r="A39" s="2">
        <v>1036</v>
      </c>
      <c r="B39" s="2" t="s">
        <v>94</v>
      </c>
      <c r="C39" s="2" t="s">
        <v>40</v>
      </c>
      <c r="D39" s="2" t="s">
        <v>38</v>
      </c>
      <c r="E39" s="2">
        <v>15</v>
      </c>
      <c r="F39" s="2">
        <v>25</v>
      </c>
      <c r="G39" s="8">
        <f>PRODUCT(E39*F39)</f>
        <v>375</v>
      </c>
      <c r="H39" s="2" t="s">
        <v>95</v>
      </c>
    </row>
    <row r="40" spans="1:8" ht="30.75" thickBot="1">
      <c r="A40" s="2">
        <v>1013</v>
      </c>
      <c r="B40" s="2" t="s">
        <v>58</v>
      </c>
      <c r="C40" s="2" t="s">
        <v>31</v>
      </c>
      <c r="D40" s="2" t="s">
        <v>32</v>
      </c>
      <c r="E40" s="2">
        <v>14</v>
      </c>
      <c r="F40" s="2">
        <v>50</v>
      </c>
      <c r="G40" s="8">
        <f>PRODUCT(E40*F40)</f>
        <v>700</v>
      </c>
      <c r="H40" s="2" t="s">
        <v>59</v>
      </c>
    </row>
    <row r="41" spans="1:8" ht="30.75" thickBot="1">
      <c r="A41" s="2">
        <v>1037</v>
      </c>
      <c r="B41" s="2" t="s">
        <v>96</v>
      </c>
      <c r="C41" s="2" t="s">
        <v>31</v>
      </c>
      <c r="D41" s="2" t="s">
        <v>42</v>
      </c>
      <c r="E41" s="2">
        <v>28</v>
      </c>
      <c r="F41" s="2">
        <v>5</v>
      </c>
      <c r="G41" s="8">
        <f>PRODUCT(E41*F41)</f>
        <v>140</v>
      </c>
      <c r="H41" s="2" t="s">
        <v>97</v>
      </c>
    </row>
    <row r="42" spans="1:8" ht="30.75" thickBot="1">
      <c r="A42" s="2">
        <v>1014</v>
      </c>
      <c r="B42" s="2" t="s">
        <v>60</v>
      </c>
      <c r="C42" s="2" t="s">
        <v>34</v>
      </c>
      <c r="D42" s="2" t="s">
        <v>35</v>
      </c>
      <c r="E42" s="2">
        <v>28</v>
      </c>
      <c r="F42" s="2">
        <v>10</v>
      </c>
      <c r="G42" s="8">
        <f>PRODUCT(E42*F42)</f>
        <v>280</v>
      </c>
      <c r="H42" s="2" t="s">
        <v>61</v>
      </c>
    </row>
    <row r="43" spans="1:8" ht="30.75" thickBot="1">
      <c r="A43" s="2">
        <v>1038</v>
      </c>
      <c r="B43" s="2" t="s">
        <v>98</v>
      </c>
      <c r="C43" s="2" t="s">
        <v>34</v>
      </c>
      <c r="D43" s="2" t="s">
        <v>46</v>
      </c>
      <c r="E43" s="2">
        <v>24</v>
      </c>
      <c r="F43" s="2">
        <v>8</v>
      </c>
      <c r="G43" s="8">
        <f>PRODUCT(E43*F43)</f>
        <v>192</v>
      </c>
      <c r="H43" s="2" t="s">
        <v>99</v>
      </c>
    </row>
    <row r="44" spans="1:8" ht="30.75" thickBot="1">
      <c r="A44" s="2">
        <v>1015</v>
      </c>
      <c r="B44" s="2" t="s">
        <v>62</v>
      </c>
      <c r="C44" s="2" t="s">
        <v>37</v>
      </c>
      <c r="D44" s="2" t="s">
        <v>38</v>
      </c>
      <c r="E44" s="2">
        <v>12</v>
      </c>
      <c r="F44" s="2">
        <v>25</v>
      </c>
      <c r="G44" s="8">
        <f>PRODUCT(E44*F44)</f>
        <v>300</v>
      </c>
      <c r="H44" s="2" t="s">
        <v>63</v>
      </c>
    </row>
    <row r="45" spans="1:8" ht="30.75" thickBot="1">
      <c r="A45" s="2">
        <v>1039</v>
      </c>
      <c r="B45" s="2" t="s">
        <v>100</v>
      </c>
      <c r="C45" s="2" t="s">
        <v>37</v>
      </c>
      <c r="D45" s="2" t="s">
        <v>32</v>
      </c>
      <c r="E45" s="2">
        <v>16</v>
      </c>
      <c r="F45" s="2">
        <v>50</v>
      </c>
      <c r="G45" s="8">
        <f>PRODUCT(E45*F45)</f>
        <v>800</v>
      </c>
      <c r="H45" s="2" t="s">
        <v>101</v>
      </c>
    </row>
    <row r="46" spans="1:8" ht="30.75" thickBot="1">
      <c r="A46" s="2">
        <v>1016</v>
      </c>
      <c r="B46" s="2" t="s">
        <v>64</v>
      </c>
      <c r="C46" s="2" t="s">
        <v>40</v>
      </c>
      <c r="D46" s="2" t="s">
        <v>42</v>
      </c>
      <c r="E46" s="2">
        <v>25</v>
      </c>
      <c r="F46" s="2">
        <v>5</v>
      </c>
      <c r="G46" s="8">
        <f>PRODUCT(E46*F46)</f>
        <v>125</v>
      </c>
      <c r="H46" s="2" t="s">
        <v>65</v>
      </c>
    </row>
    <row r="47" spans="1:8" ht="30.75" thickBot="1">
      <c r="A47" s="2">
        <v>1040</v>
      </c>
      <c r="B47" s="2" t="s">
        <v>102</v>
      </c>
      <c r="C47" s="2" t="s">
        <v>40</v>
      </c>
      <c r="D47" s="2" t="s">
        <v>35</v>
      </c>
      <c r="E47" s="2">
        <v>27</v>
      </c>
      <c r="F47" s="2">
        <v>10</v>
      </c>
      <c r="G47" s="8">
        <f>PRODUCT(E47*F47)</f>
        <v>270</v>
      </c>
      <c r="H47" s="2" t="s">
        <v>103</v>
      </c>
    </row>
    <row r="48" spans="1:8" ht="30.75" thickBot="1">
      <c r="A48" s="2">
        <v>1041</v>
      </c>
      <c r="B48" s="2" t="s">
        <v>104</v>
      </c>
      <c r="C48" s="2" t="s">
        <v>31</v>
      </c>
      <c r="D48" s="2" t="s">
        <v>38</v>
      </c>
      <c r="E48" s="2">
        <v>21</v>
      </c>
      <c r="F48" s="2">
        <v>25</v>
      </c>
      <c r="G48" s="8">
        <f>PRODUCT(E48*F48)</f>
        <v>525</v>
      </c>
      <c r="H48" s="2" t="s">
        <v>105</v>
      </c>
    </row>
    <row r="49" spans="1:8" ht="30.75" thickBot="1">
      <c r="A49" s="2">
        <v>1017</v>
      </c>
      <c r="B49" s="2" t="s">
        <v>66</v>
      </c>
      <c r="C49" s="2" t="s">
        <v>31</v>
      </c>
      <c r="D49" s="2" t="s">
        <v>46</v>
      </c>
      <c r="E49" s="2">
        <v>20</v>
      </c>
      <c r="F49" s="2">
        <v>8</v>
      </c>
      <c r="G49" s="8">
        <f>PRODUCT(E49*F49)</f>
        <v>160</v>
      </c>
      <c r="H49" s="2" t="s">
        <v>67</v>
      </c>
    </row>
    <row r="50" spans="1:8" ht="30.75" thickBot="1">
      <c r="A50" s="2">
        <v>1042</v>
      </c>
      <c r="B50" s="2" t="s">
        <v>106</v>
      </c>
      <c r="C50" s="2" t="s">
        <v>34</v>
      </c>
      <c r="D50" s="2" t="s">
        <v>42</v>
      </c>
      <c r="E50" s="2">
        <v>30</v>
      </c>
      <c r="F50" s="2">
        <v>5</v>
      </c>
      <c r="G50" s="8">
        <f>PRODUCT(E50*F50)</f>
        <v>150</v>
      </c>
      <c r="H50" s="2" t="s">
        <v>107</v>
      </c>
    </row>
    <row r="51" spans="1:8" ht="30.75" thickBot="1">
      <c r="A51" s="2">
        <v>1018</v>
      </c>
      <c r="B51" s="2" t="s">
        <v>68</v>
      </c>
      <c r="C51" s="2" t="s">
        <v>34</v>
      </c>
      <c r="D51" s="2" t="s">
        <v>32</v>
      </c>
      <c r="E51" s="2">
        <v>10</v>
      </c>
      <c r="F51" s="2">
        <v>50</v>
      </c>
      <c r="G51" s="8">
        <f>PRODUCT(E51*F51)</f>
        <v>500</v>
      </c>
      <c r="H51" s="2" t="s">
        <v>69</v>
      </c>
    </row>
    <row r="52" spans="1:8" ht="30.75" thickBot="1">
      <c r="A52" s="2">
        <v>1019</v>
      </c>
      <c r="B52" s="2" t="s">
        <v>70</v>
      </c>
      <c r="C52" s="2" t="s">
        <v>37</v>
      </c>
      <c r="D52" s="2" t="s">
        <v>35</v>
      </c>
      <c r="E52" s="2">
        <v>15</v>
      </c>
      <c r="F52" s="2">
        <v>10</v>
      </c>
      <c r="G52" s="8">
        <f>PRODUCT(E52*F52)</f>
        <v>150</v>
      </c>
      <c r="H52" s="2" t="s">
        <v>71</v>
      </c>
    </row>
  </sheetData>
  <sortState xmlns:xlrd2="http://schemas.microsoft.com/office/spreadsheetml/2017/richdata2" ref="A3:I52">
    <sortCondition ref="H3:H52"/>
  </sortState>
  <mergeCells count="1">
    <mergeCell ref="A1:I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Q1_Cell_Referencing</vt:lpstr>
      <vt:lpstr>Q2_Total_Sales</vt:lpstr>
      <vt:lpstr>Q3_Average_Sales</vt:lpstr>
      <vt:lpstr>Q4</vt:lpstr>
      <vt:lpstr>Q5</vt:lpstr>
      <vt:lpstr>Q6</vt:lpstr>
      <vt:lpstr>Q7</vt:lpstr>
      <vt:lpstr>Q8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MY-PC</cp:lastModifiedBy>
  <cp:lastPrinted>2026-01-12T10:15:40Z</cp:lastPrinted>
  <dcterms:created xsi:type="dcterms:W3CDTF">2026-01-11T14:21:16Z</dcterms:created>
  <dcterms:modified xsi:type="dcterms:W3CDTF">2026-01-12T10:19:20Z</dcterms:modified>
</cp:coreProperties>
</file>